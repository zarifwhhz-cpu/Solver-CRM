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" sheetId="1" r:id="rId5"/>
    <sheet state="visible" name="Campaign Management" sheetId="2" r:id="rId6"/>
    <sheet state="visible" name="Client Details" sheetId="3" r:id="rId7"/>
    <sheet state="visible" name="Monthly Reports" sheetId="4" r:id="rId8"/>
  </sheets>
  <definedNames/>
  <calcPr/>
</workbook>
</file>

<file path=xl/sharedStrings.xml><?xml version="1.0" encoding="utf-8"?>
<sst xmlns="http://schemas.openxmlformats.org/spreadsheetml/2006/main" count="185" uniqueCount="57">
  <si>
    <t>Remaining</t>
  </si>
  <si>
    <t>Tiktok</t>
  </si>
  <si>
    <t>Facebook</t>
  </si>
  <si>
    <t>Balance</t>
  </si>
  <si>
    <t>Balance BDT</t>
  </si>
  <si>
    <t>Date</t>
  </si>
  <si>
    <t>Received</t>
  </si>
  <si>
    <t>Burnt US</t>
  </si>
  <si>
    <t>Platform</t>
  </si>
  <si>
    <t>Burnt</t>
  </si>
  <si>
    <t>Payment Note</t>
  </si>
  <si>
    <t>৳100.00</t>
  </si>
  <si>
    <t>08/03/26/cli-1439/lst-bkash/pay-100</t>
  </si>
  <si>
    <t>ADJ</t>
  </si>
  <si>
    <t>1/12/25/cli-1439/lst-bank/pay-1500</t>
  </si>
  <si>
    <t>03/12/25/cli-1439/lst-bank/pay-2000</t>
  </si>
  <si>
    <t>06/12/25/cli-1439/lst-bank/pay-2500</t>
  </si>
  <si>
    <t>09/12/25/cli-1439/lst-bank/pay-2500</t>
  </si>
  <si>
    <t>19/12/25/cl-1439/lst-bank/pay-1500</t>
  </si>
  <si>
    <t>22/12/25/cli-1439/lst-bank/pay-1000</t>
  </si>
  <si>
    <t>30/12/25/cli-1439/lst-bank/pay-1100</t>
  </si>
  <si>
    <t>05/01/26/cli-1439/lst-bank/pay-1500</t>
  </si>
  <si>
    <t>31/01/26/cli-1439/lst-bank/pay-1500</t>
  </si>
  <si>
    <t>02/02/26/cli-1439/lst-bank/pay-1000</t>
  </si>
  <si>
    <t>04/02/26/cli-1439/lst-bank/pay-500</t>
  </si>
  <si>
    <t>23/02/26/cli-1439/lst-bank/pay-1500</t>
  </si>
  <si>
    <t>07/03/26/cli-1439/lst-brac/pay-500</t>
  </si>
  <si>
    <t>৳1,500.00</t>
  </si>
  <si>
    <t>08/03/26/cli-1439/lst-bank/pay-1500</t>
  </si>
  <si>
    <t>Total Budget</t>
  </si>
  <si>
    <t>Total Camp Due</t>
  </si>
  <si>
    <t>Tiktok Budget</t>
  </si>
  <si>
    <t>FB Budget</t>
  </si>
  <si>
    <t>Tiktok Due</t>
  </si>
  <si>
    <t>FB Due</t>
  </si>
  <si>
    <t>Total Paid</t>
  </si>
  <si>
    <t>Daily Due</t>
  </si>
  <si>
    <t>Today</t>
  </si>
  <si>
    <t>Start</t>
  </si>
  <si>
    <t>Ads Account</t>
  </si>
  <si>
    <t>Camp Code</t>
  </si>
  <si>
    <t>Budget US</t>
  </si>
  <si>
    <t>Duration</t>
  </si>
  <si>
    <t>Budget BD</t>
  </si>
  <si>
    <t>Status</t>
  </si>
  <si>
    <t>Executive</t>
  </si>
  <si>
    <t>Due</t>
  </si>
  <si>
    <t xml:space="preserve">End </t>
  </si>
  <si>
    <t>Client Code</t>
  </si>
  <si>
    <t>Cli 1439</t>
  </si>
  <si>
    <t>FB Rate</t>
  </si>
  <si>
    <t>Tiktok Rate</t>
  </si>
  <si>
    <t>Sum Rate</t>
  </si>
  <si>
    <t>Camp Budget</t>
  </si>
  <si>
    <t>Camp Due</t>
  </si>
  <si>
    <t>Tiktok $</t>
  </si>
  <si>
    <t>FB 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</si>
</sst>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৳]#,##0.00"/>
    <numFmt numFmtId="166" formatCode="[$$]#,##0.00"/>
    <numFmt numFmtId="167" formatCode="d/m/yyyy"/>
  </numFmts>
  <fonts count="12">
    <font>
      <sz val="10.0"/>
      <color rgb="FF000000"/>
      <name val="Arial"/>
      <scheme val="minor"/>
    </font>
    <font>
      <color theme="1"/>
      <name val="Arial"/>
    </font>
    <font>
      <sz val="13.0"/>
      <color theme="1"/>
      <name val="Arial"/>
    </font>
    <font>
      <sz val="18.0"/>
      <color theme="1"/>
      <name val="Arial"/>
    </font>
    <font>
      <sz val="16.0"/>
      <color theme="1"/>
      <name val="Arial"/>
    </font>
    <font>
      <sz val="15.0"/>
      <color theme="1"/>
      <name val="Arial"/>
    </font>
    <font>
      <b/>
      <color theme="1"/>
      <name val="Arial"/>
    </font>
    <font>
      <sz val="11.0"/>
      <color rgb="FF1C2B33"/>
      <name val="&quot;Optimistic 95&quot;"/>
    </font>
    <font>
      <sz val="11.0"/>
      <color rgb="FF1C2B33"/>
      <name val="Arial"/>
    </font>
    <font>
      <color theme="1"/>
      <name val="Arial"/>
      <scheme val="minor"/>
    </font>
    <font>
      <b/>
      <sz val="15.0"/>
      <color theme="1"/>
      <name val="Arial"/>
    </font>
    <font>
      <sz val="1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horizontal="left" vertical="bottom"/>
    </xf>
    <xf borderId="0" fillId="4" fontId="2" numFmtId="166" xfId="0" applyAlignment="1" applyFill="1" applyFont="1" applyNumberForma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6" fontId="3" numFmtId="0" xfId="0" applyAlignment="1" applyFill="1" applyFont="1">
      <alignment vertical="bottom"/>
    </xf>
    <xf borderId="0" fillId="6" fontId="3" numFmtId="166" xfId="0" applyAlignment="1" applyFont="1" applyNumberFormat="1">
      <alignment horizontal="right" vertical="bottom"/>
    </xf>
    <xf borderId="0" fillId="7" fontId="3" numFmtId="0" xfId="0" applyAlignment="1" applyFill="1" applyFont="1">
      <alignment vertical="bottom"/>
    </xf>
    <xf borderId="0" fillId="7" fontId="4" numFmtId="165" xfId="0" applyAlignment="1" applyFont="1" applyNumberFormat="1">
      <alignment horizontal="left" vertical="bottom"/>
    </xf>
    <xf borderId="0" fillId="0" fontId="5" numFmtId="166" xfId="0" applyAlignment="1" applyFont="1" applyNumberFormat="1">
      <alignment horizontal="center" vertical="bottom"/>
    </xf>
    <xf borderId="0" fillId="8" fontId="5" numFmtId="0" xfId="0" applyAlignment="1" applyFill="1" applyFont="1">
      <alignment vertical="bottom"/>
    </xf>
    <xf borderId="0" fillId="8" fontId="5" numFmtId="166" xfId="0" applyAlignment="1" applyFont="1" applyNumberFormat="1">
      <alignment vertical="bottom"/>
    </xf>
    <xf borderId="0" fillId="8" fontId="5" numFmtId="0" xfId="0" applyAlignment="1" applyFont="1">
      <alignment horizontal="left" vertical="bottom"/>
    </xf>
    <xf borderId="0" fillId="8" fontId="1" numFmtId="0" xfId="0" applyAlignment="1" applyFont="1">
      <alignment vertical="bottom"/>
    </xf>
    <xf borderId="0" fillId="8" fontId="1" numFmtId="166" xfId="0" applyAlignment="1" applyFont="1" applyNumberFormat="1">
      <alignment vertical="bottom"/>
    </xf>
    <xf borderId="0" fillId="2" fontId="1" numFmtId="164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1" numFmtId="166" xfId="0" applyAlignment="1" applyFont="1" applyNumberFormat="1">
      <alignment vertical="bottom"/>
    </xf>
    <xf borderId="0" fillId="8" fontId="1" numFmtId="164" xfId="0" applyAlignment="1" applyFont="1" applyNumberFormat="1">
      <alignment readingOrder="0" vertical="bottom"/>
    </xf>
    <xf borderId="0" fillId="8" fontId="1" numFmtId="165" xfId="0" applyAlignment="1" applyFont="1" applyNumberFormat="1">
      <alignment readingOrder="0" vertical="bottom"/>
    </xf>
    <xf borderId="0" fillId="8" fontId="1" numFmtId="166" xfId="0" applyAlignment="1" applyFont="1" applyNumberFormat="1">
      <alignment horizontal="right" readingOrder="0" vertical="bottom"/>
    </xf>
    <xf borderId="0" fillId="8" fontId="1" numFmtId="0" xfId="0" applyAlignment="1" applyFont="1">
      <alignment horizontal="left" readingOrder="0" vertical="bottom"/>
    </xf>
    <xf borderId="0" fillId="8" fontId="1" numFmtId="165" xfId="0" applyAlignment="1" applyFont="1" applyNumberFormat="1">
      <alignment horizontal="right" vertical="bottom"/>
    </xf>
    <xf borderId="0" fillId="8" fontId="1" numFmtId="165" xfId="0" applyAlignment="1" applyFont="1" applyNumberFormat="1">
      <alignment horizontal="right" vertical="bottom"/>
    </xf>
    <xf borderId="0" fillId="8" fontId="1" numFmtId="0" xfId="0" applyAlignment="1" applyFont="1">
      <alignment readingOrder="0" vertical="bottom"/>
    </xf>
    <xf borderId="0" fillId="2" fontId="1" numFmtId="16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66" xfId="0" applyAlignment="1" applyFont="1" applyNumberFormat="1">
      <alignment vertical="bottom"/>
    </xf>
    <xf borderId="0" fillId="2" fontId="7" numFmtId="166" xfId="0" applyAlignment="1" applyFont="1" applyNumberFormat="1">
      <alignment horizontal="right" readingOrder="0" shrinkToFit="0" wrapText="0"/>
    </xf>
    <xf borderId="0" fillId="2" fontId="8" numFmtId="166" xfId="0" applyAlignment="1" applyFont="1" applyNumberFormat="1">
      <alignment horizontal="right" readingOrder="0" shrinkToFit="0" wrapText="0"/>
    </xf>
    <xf borderId="0" fillId="0" fontId="9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 vertical="bottom"/>
    </xf>
    <xf borderId="0" fillId="2" fontId="8" numFmtId="0" xfId="0" applyAlignment="1" applyFont="1">
      <alignment horizontal="right" readingOrder="0" shrinkToFit="0" wrapText="0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left" vertical="bottom"/>
    </xf>
    <xf borderId="0" fillId="0" fontId="9" numFmtId="0" xfId="0" applyAlignment="1" applyFont="1">
      <alignment horizontal="left"/>
    </xf>
    <xf borderId="0" fillId="9" fontId="5" numFmtId="165" xfId="0" applyAlignment="1" applyFill="1" applyFont="1" applyNumberFormat="1">
      <alignment horizontal="right" vertical="bottom"/>
    </xf>
    <xf borderId="0" fillId="10" fontId="5" numFmtId="165" xfId="0" applyAlignment="1" applyFill="1" applyFont="1" applyNumberFormat="1">
      <alignment horizontal="right" vertical="bottom"/>
    </xf>
    <xf borderId="0" fillId="6" fontId="5" numFmtId="165" xfId="0" applyAlignment="1" applyFont="1" applyNumberFormat="1">
      <alignment horizontal="right" vertical="bottom"/>
    </xf>
    <xf borderId="0" fillId="11" fontId="5" numFmtId="165" xfId="0" applyAlignment="1" applyFill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6" fontId="5" numFmtId="14" xfId="0" applyAlignment="1" applyFont="1" applyNumberFormat="1">
      <alignment horizontal="right" vertical="bottom"/>
    </xf>
    <xf borderId="0" fillId="8" fontId="5" numFmtId="165" xfId="0" applyAlignment="1" applyFont="1" applyNumberFormat="1">
      <alignment vertical="bottom"/>
    </xf>
    <xf borderId="0" fillId="8" fontId="5" numFmtId="0" xfId="0" applyAlignment="1" applyFont="1">
      <alignment horizontal="center" vertical="bottom"/>
    </xf>
    <xf borderId="0" fillId="2" fontId="1" numFmtId="164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8" fontId="10" numFmtId="0" xfId="0" applyAlignment="1" applyFont="1">
      <alignment horizontal="left" vertical="bottom"/>
    </xf>
    <xf borderId="0" fillId="8" fontId="10" numFmtId="0" xfId="0" applyAlignment="1" applyFont="1">
      <alignment horizontal="left" readingOrder="0" vertical="bottom"/>
    </xf>
    <xf borderId="0" fillId="8" fontId="10" numFmtId="165" xfId="0" applyAlignment="1" applyFont="1" applyNumberFormat="1">
      <alignment horizontal="left" readingOrder="0" vertical="bottom"/>
    </xf>
    <xf borderId="0" fillId="8" fontId="10" numFmtId="165" xfId="0" applyAlignment="1" applyFont="1" applyNumberFormat="1">
      <alignment horizontal="left" vertical="bottom"/>
    </xf>
    <xf borderId="0" fillId="2" fontId="1" numFmtId="0" xfId="0" applyAlignment="1" applyFont="1">
      <alignment horizontal="left" vertical="bottom"/>
    </xf>
    <xf borderId="0" fillId="10" fontId="11" numFmtId="0" xfId="0" applyAlignment="1" applyFont="1">
      <alignment horizontal="left" vertical="bottom"/>
    </xf>
    <xf borderId="0" fillId="10" fontId="1" numFmtId="0" xfId="0" applyAlignment="1" applyFont="1">
      <alignment horizontal="left" vertical="bottom"/>
    </xf>
    <xf borderId="0" fillId="6" fontId="1" numFmtId="165" xfId="0" applyAlignment="1" applyFont="1" applyNumberFormat="1">
      <alignment horizontal="left" vertical="bottom"/>
    </xf>
    <xf borderId="0" fillId="6" fontId="1" numFmtId="165" xfId="0" applyAlignment="1" applyFont="1" applyNumberFormat="1">
      <alignment horizontal="left" vertical="bottom"/>
    </xf>
    <xf borderId="0" fillId="6" fontId="1" numFmtId="166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19.38"/>
    <col customWidth="1" min="4" max="4" width="20.38"/>
  </cols>
  <sheetData>
    <row r="1">
      <c r="A1" s="1"/>
      <c r="B1" s="2"/>
      <c r="C1" s="3"/>
      <c r="D1" s="4" t="s">
        <v>0</v>
      </c>
      <c r="E1" s="5" t="s">
        <v>1</v>
      </c>
      <c r="F1" s="6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7" t="s">
        <v>3</v>
      </c>
      <c r="B2" s="8">
        <f>D2/'Client Details'!H1</f>
        <v>0.03433333333</v>
      </c>
      <c r="C2" s="9" t="s">
        <v>4</v>
      </c>
      <c r="D2" s="10">
        <f>sum(E4:E1001)</f>
        <v>5.15</v>
      </c>
      <c r="E2" s="11">
        <f>D2/'Client Details'!F1</f>
        <v>0.03433333333</v>
      </c>
      <c r="F2" s="11">
        <f>D2/'Client Details'!D1</f>
        <v>0.03433333333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2" t="s">
        <v>5</v>
      </c>
      <c r="B3" s="12" t="s">
        <v>6</v>
      </c>
      <c r="C3" s="13" t="s">
        <v>7</v>
      </c>
      <c r="D3" s="14" t="s">
        <v>8</v>
      </c>
      <c r="E3" s="12" t="s">
        <v>0</v>
      </c>
      <c r="F3" s="12" t="s">
        <v>9</v>
      </c>
      <c r="G3" s="12" t="s">
        <v>10</v>
      </c>
      <c r="H3" s="15"/>
      <c r="I3" s="15"/>
      <c r="J3" s="15"/>
      <c r="K3" s="16"/>
      <c r="L3" s="15"/>
      <c r="M3" s="15"/>
      <c r="N3" s="15"/>
      <c r="O3" s="15"/>
      <c r="P3" s="15"/>
      <c r="Q3" s="15"/>
      <c r="R3" s="15"/>
      <c r="S3" s="15"/>
      <c r="T3" s="15"/>
      <c r="U3" s="15"/>
      <c r="V3" s="3"/>
      <c r="W3" s="3"/>
      <c r="X3" s="3"/>
      <c r="Y3" s="3"/>
    </row>
    <row r="4">
      <c r="A4" s="17">
        <v>46089.0</v>
      </c>
      <c r="B4" s="18" t="s">
        <v>11</v>
      </c>
      <c r="C4" s="19"/>
      <c r="D4" s="20" t="s">
        <v>2</v>
      </c>
      <c r="E4" s="21"/>
      <c r="F4" s="22"/>
      <c r="G4" s="23" t="s">
        <v>12</v>
      </c>
      <c r="H4" s="3"/>
      <c r="I4" s="24"/>
      <c r="J4" s="3"/>
      <c r="K4" s="3"/>
      <c r="L4" s="3"/>
      <c r="M4" s="3"/>
      <c r="N4" s="3"/>
      <c r="O4" s="24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5">
        <v>45990.0</v>
      </c>
      <c r="B5" s="26">
        <v>100.0</v>
      </c>
      <c r="C5" s="27">
        <v>0.55</v>
      </c>
      <c r="D5" s="28" t="s">
        <v>2</v>
      </c>
      <c r="E5" s="29">
        <f t="shared" ref="E5:E48" si="1">B5-F5</f>
        <v>20.25</v>
      </c>
      <c r="F5" s="30">
        <f t="shared" ref="F5:F48" si="2">IF(ISBLANK(D5) ,0,IF(D5="Tiktok",C5*155,C5*145))</f>
        <v>79.75</v>
      </c>
      <c r="G5" s="31" t="s">
        <v>13</v>
      </c>
      <c r="H5" s="3"/>
      <c r="I5" s="24"/>
      <c r="J5" s="3"/>
      <c r="K5" s="3"/>
      <c r="L5" s="3"/>
      <c r="M5" s="3"/>
      <c r="N5" s="3"/>
      <c r="O5" s="24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2">
        <v>45991.0</v>
      </c>
      <c r="B6" s="33">
        <v>1500.0</v>
      </c>
      <c r="C6" s="19">
        <v>0.2</v>
      </c>
      <c r="D6" s="20" t="s">
        <v>2</v>
      </c>
      <c r="E6" s="21">
        <f t="shared" si="1"/>
        <v>1471</v>
      </c>
      <c r="F6" s="22">
        <f t="shared" si="2"/>
        <v>29</v>
      </c>
      <c r="G6" s="34" t="s">
        <v>14</v>
      </c>
      <c r="H6" s="3"/>
      <c r="I6" s="24"/>
      <c r="J6" s="3"/>
      <c r="K6" s="3"/>
      <c r="L6" s="3"/>
      <c r="M6" s="3"/>
      <c r="N6" s="3"/>
      <c r="O6" s="24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2">
        <v>45992.0</v>
      </c>
      <c r="B7" s="33"/>
      <c r="C7" s="19">
        <v>4.58</v>
      </c>
      <c r="D7" s="20" t="s">
        <v>2</v>
      </c>
      <c r="E7" s="21">
        <f t="shared" si="1"/>
        <v>-664.1</v>
      </c>
      <c r="F7" s="22">
        <f t="shared" si="2"/>
        <v>664.1</v>
      </c>
      <c r="G7" s="34"/>
      <c r="H7" s="3"/>
      <c r="I7" s="24"/>
      <c r="J7" s="3"/>
      <c r="K7" s="3"/>
      <c r="L7" s="3"/>
      <c r="M7" s="3"/>
      <c r="N7" s="3"/>
      <c r="O7" s="24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2">
        <v>45993.0</v>
      </c>
      <c r="B8" s="2"/>
      <c r="C8" s="19">
        <v>4.78</v>
      </c>
      <c r="D8" s="20" t="s">
        <v>2</v>
      </c>
      <c r="E8" s="21">
        <f t="shared" si="1"/>
        <v>-693.1</v>
      </c>
      <c r="F8" s="22">
        <f t="shared" si="2"/>
        <v>693.1</v>
      </c>
      <c r="G8" s="3"/>
      <c r="H8" s="3"/>
      <c r="I8" s="24"/>
      <c r="J8" s="3"/>
      <c r="K8" s="3"/>
      <c r="L8" s="3"/>
      <c r="M8" s="3"/>
      <c r="N8" s="3"/>
      <c r="O8" s="24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2">
        <v>45994.0</v>
      </c>
      <c r="B9" s="33">
        <v>2000.0</v>
      </c>
      <c r="C9" s="19">
        <v>10.56</v>
      </c>
      <c r="D9" s="20" t="s">
        <v>2</v>
      </c>
      <c r="E9" s="21">
        <f t="shared" si="1"/>
        <v>468.8</v>
      </c>
      <c r="F9" s="22">
        <f t="shared" si="2"/>
        <v>1531.2</v>
      </c>
      <c r="G9" s="34" t="s">
        <v>15</v>
      </c>
      <c r="H9" s="3"/>
      <c r="I9" s="24"/>
      <c r="J9" s="3"/>
      <c r="K9" s="3"/>
      <c r="L9" s="3"/>
      <c r="M9" s="3"/>
      <c r="N9" s="3"/>
      <c r="O9" s="24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2">
        <v>45995.0</v>
      </c>
      <c r="B10" s="33"/>
      <c r="C10" s="19">
        <v>8.73</v>
      </c>
      <c r="D10" s="20" t="s">
        <v>2</v>
      </c>
      <c r="E10" s="21">
        <f t="shared" si="1"/>
        <v>-1265.85</v>
      </c>
      <c r="F10" s="22">
        <f t="shared" si="2"/>
        <v>1265.85</v>
      </c>
      <c r="G10" s="34"/>
      <c r="H10" s="3"/>
      <c r="I10" s="24"/>
      <c r="J10" s="3"/>
      <c r="K10" s="3"/>
      <c r="L10" s="3"/>
      <c r="M10" s="3"/>
      <c r="N10" s="3"/>
      <c r="O10" s="24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2">
        <v>45996.0</v>
      </c>
      <c r="B11" s="33"/>
      <c r="C11" s="19">
        <v>6.74</v>
      </c>
      <c r="D11" s="20" t="s">
        <v>2</v>
      </c>
      <c r="E11" s="21">
        <f t="shared" si="1"/>
        <v>-977.3</v>
      </c>
      <c r="F11" s="22">
        <f t="shared" si="2"/>
        <v>977.3</v>
      </c>
      <c r="G11" s="34"/>
      <c r="H11" s="3"/>
      <c r="I11" s="24"/>
      <c r="J11" s="3"/>
      <c r="K11" s="3"/>
      <c r="L11" s="3"/>
      <c r="M11" s="3"/>
      <c r="N11" s="3"/>
      <c r="O11" s="24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2">
        <v>45997.0</v>
      </c>
      <c r="B12" s="33">
        <v>2500.0</v>
      </c>
      <c r="C12" s="19">
        <v>1.0</v>
      </c>
      <c r="D12" s="20" t="s">
        <v>2</v>
      </c>
      <c r="E12" s="21">
        <f t="shared" si="1"/>
        <v>2355</v>
      </c>
      <c r="F12" s="22">
        <f t="shared" si="2"/>
        <v>145</v>
      </c>
      <c r="G12" s="34" t="s">
        <v>16</v>
      </c>
      <c r="H12" s="3"/>
      <c r="I12" s="24"/>
      <c r="J12" s="3"/>
      <c r="K12" s="3"/>
      <c r="L12" s="3"/>
      <c r="M12" s="3"/>
      <c r="N12" s="3"/>
      <c r="O12" s="24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2">
        <v>45998.0</v>
      </c>
      <c r="B13" s="2"/>
      <c r="C13" s="19">
        <v>0.0</v>
      </c>
      <c r="D13" s="20" t="s">
        <v>2</v>
      </c>
      <c r="E13" s="21">
        <f t="shared" si="1"/>
        <v>0</v>
      </c>
      <c r="F13" s="22">
        <f t="shared" si="2"/>
        <v>0</v>
      </c>
      <c r="G13" s="3"/>
      <c r="H13" s="3"/>
      <c r="I13" s="24"/>
      <c r="J13" s="3"/>
      <c r="K13" s="3"/>
      <c r="L13" s="3"/>
      <c r="M13" s="3"/>
      <c r="N13" s="3"/>
      <c r="O13" s="24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2">
        <v>45999.0</v>
      </c>
      <c r="B14" s="2"/>
      <c r="C14" s="19">
        <v>3.0</v>
      </c>
      <c r="D14" s="20" t="s">
        <v>2</v>
      </c>
      <c r="E14" s="21">
        <f t="shared" si="1"/>
        <v>-435</v>
      </c>
      <c r="F14" s="22">
        <f t="shared" si="2"/>
        <v>435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2">
        <v>46000.0</v>
      </c>
      <c r="B15" s="33">
        <v>2500.0</v>
      </c>
      <c r="C15" s="19">
        <v>4.91</v>
      </c>
      <c r="D15" s="20" t="s">
        <v>2</v>
      </c>
      <c r="E15" s="21">
        <f t="shared" si="1"/>
        <v>1788.05</v>
      </c>
      <c r="F15" s="22">
        <f t="shared" si="2"/>
        <v>711.95</v>
      </c>
      <c r="G15" s="34" t="s">
        <v>17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2">
        <v>46001.0</v>
      </c>
      <c r="B16" s="2"/>
      <c r="C16" s="19">
        <v>7.67</v>
      </c>
      <c r="D16" s="20" t="s">
        <v>2</v>
      </c>
      <c r="E16" s="21">
        <f t="shared" si="1"/>
        <v>-1112.15</v>
      </c>
      <c r="F16" s="22">
        <f t="shared" si="2"/>
        <v>1112.15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2">
        <v>46002.0</v>
      </c>
      <c r="B17" s="2"/>
      <c r="C17" s="19">
        <v>6.44</v>
      </c>
      <c r="D17" s="20" t="s">
        <v>2</v>
      </c>
      <c r="E17" s="21">
        <f t="shared" si="1"/>
        <v>-933.8</v>
      </c>
      <c r="F17" s="22">
        <f t="shared" si="2"/>
        <v>933.8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2"/>
      <c r="B18" s="33"/>
      <c r="C18" s="35"/>
      <c r="D18" s="20" t="s">
        <v>2</v>
      </c>
      <c r="E18" s="21">
        <f t="shared" si="1"/>
        <v>0</v>
      </c>
      <c r="F18" s="22">
        <f t="shared" si="2"/>
        <v>0</v>
      </c>
      <c r="G18" s="3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2"/>
      <c r="B19" s="2"/>
      <c r="C19" s="36"/>
      <c r="D19" s="20" t="s">
        <v>2</v>
      </c>
      <c r="E19" s="21">
        <f t="shared" si="1"/>
        <v>0</v>
      </c>
      <c r="F19" s="22">
        <f t="shared" si="2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2"/>
      <c r="B20" s="2"/>
      <c r="C20" s="36"/>
      <c r="D20" s="20" t="s">
        <v>2</v>
      </c>
      <c r="E20" s="21">
        <f t="shared" si="1"/>
        <v>0</v>
      </c>
      <c r="F20" s="22">
        <f t="shared" si="2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2">
        <v>46010.0</v>
      </c>
      <c r="B21" s="33">
        <v>1500.0</v>
      </c>
      <c r="C21" s="37">
        <v>1.66</v>
      </c>
      <c r="D21" s="20" t="s">
        <v>2</v>
      </c>
      <c r="E21" s="21">
        <f t="shared" si="1"/>
        <v>1259.3</v>
      </c>
      <c r="F21" s="22">
        <f t="shared" si="2"/>
        <v>240.7</v>
      </c>
      <c r="G21" s="34" t="s">
        <v>18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2">
        <v>46011.0</v>
      </c>
      <c r="B22" s="2"/>
      <c r="C22" s="19">
        <v>4.98</v>
      </c>
      <c r="D22" s="20" t="s">
        <v>2</v>
      </c>
      <c r="E22" s="21">
        <f t="shared" si="1"/>
        <v>-722.1</v>
      </c>
      <c r="F22" s="22">
        <f t="shared" si="2"/>
        <v>722.1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2">
        <v>46012.0</v>
      </c>
      <c r="B23" s="2"/>
      <c r="C23" s="19">
        <v>4.82</v>
      </c>
      <c r="D23" s="20" t="s">
        <v>2</v>
      </c>
      <c r="E23" s="21">
        <f t="shared" si="1"/>
        <v>-698.9</v>
      </c>
      <c r="F23" s="22">
        <f t="shared" si="2"/>
        <v>698.9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2">
        <v>46013.0</v>
      </c>
      <c r="B24" s="33">
        <v>1000.0</v>
      </c>
      <c r="C24" s="19">
        <v>5.51</v>
      </c>
      <c r="D24" s="20" t="s">
        <v>2</v>
      </c>
      <c r="E24" s="21">
        <f t="shared" si="1"/>
        <v>201.05</v>
      </c>
      <c r="F24" s="22">
        <f t="shared" si="2"/>
        <v>798.95</v>
      </c>
      <c r="G24" s="34" t="s">
        <v>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2">
        <v>46014.0</v>
      </c>
      <c r="B25" s="33"/>
      <c r="C25" s="19">
        <v>7.38</v>
      </c>
      <c r="D25" s="20" t="s">
        <v>2</v>
      </c>
      <c r="E25" s="21">
        <f t="shared" si="1"/>
        <v>-1070.1</v>
      </c>
      <c r="F25" s="22">
        <f t="shared" si="2"/>
        <v>1070.1</v>
      </c>
      <c r="G25" s="3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2">
        <v>46015.0</v>
      </c>
      <c r="B26" s="2"/>
      <c r="C26" s="19">
        <v>0.46</v>
      </c>
      <c r="D26" s="20" t="s">
        <v>2</v>
      </c>
      <c r="E26" s="21">
        <f t="shared" si="1"/>
        <v>-66.7</v>
      </c>
      <c r="F26" s="22">
        <f t="shared" si="2"/>
        <v>66.7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2"/>
      <c r="B27" s="2"/>
      <c r="C27" s="19"/>
      <c r="D27" s="20" t="s">
        <v>2</v>
      </c>
      <c r="E27" s="21">
        <f t="shared" si="1"/>
        <v>0</v>
      </c>
      <c r="F27" s="22">
        <f t="shared" si="2"/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2"/>
      <c r="B28" s="2"/>
      <c r="C28" s="19"/>
      <c r="D28" s="20" t="s">
        <v>2</v>
      </c>
      <c r="E28" s="21">
        <f t="shared" si="1"/>
        <v>0</v>
      </c>
      <c r="F28" s="22">
        <f t="shared" si="2"/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2">
        <v>46021.0</v>
      </c>
      <c r="B29" s="33">
        <v>1100.0</v>
      </c>
      <c r="C29" s="19"/>
      <c r="D29" s="20" t="s">
        <v>2</v>
      </c>
      <c r="E29" s="21">
        <f t="shared" si="1"/>
        <v>1100</v>
      </c>
      <c r="F29" s="22">
        <f t="shared" si="2"/>
        <v>0</v>
      </c>
      <c r="G29" s="34" t="s">
        <v>20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2"/>
      <c r="B30" s="2"/>
      <c r="C30" s="36"/>
      <c r="D30" s="20" t="s">
        <v>2</v>
      </c>
      <c r="E30" s="21">
        <f t="shared" si="1"/>
        <v>0</v>
      </c>
      <c r="F30" s="22">
        <f t="shared" si="2"/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2"/>
      <c r="B31" s="33"/>
      <c r="C31" s="19"/>
      <c r="D31" s="20" t="s">
        <v>2</v>
      </c>
      <c r="E31" s="21">
        <f t="shared" si="1"/>
        <v>0</v>
      </c>
      <c r="F31" s="22">
        <f t="shared" si="2"/>
        <v>0</v>
      </c>
      <c r="G31" s="3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2"/>
      <c r="B32" s="2"/>
      <c r="C32" s="19"/>
      <c r="D32" s="20" t="s">
        <v>2</v>
      </c>
      <c r="E32" s="21">
        <f t="shared" si="1"/>
        <v>0</v>
      </c>
      <c r="F32" s="22">
        <f t="shared" si="2"/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2">
        <v>46026.0</v>
      </c>
      <c r="B33" s="33">
        <v>1500.0</v>
      </c>
      <c r="C33" s="19"/>
      <c r="D33" s="20" t="s">
        <v>2</v>
      </c>
      <c r="E33" s="21">
        <f t="shared" si="1"/>
        <v>1500</v>
      </c>
      <c r="F33" s="22">
        <f t="shared" si="2"/>
        <v>0</v>
      </c>
      <c r="G33" s="34" t="s">
        <v>21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2">
        <v>46027.0</v>
      </c>
      <c r="B34" s="33"/>
      <c r="C34" s="19">
        <v>0.07</v>
      </c>
      <c r="D34" s="20" t="s">
        <v>2</v>
      </c>
      <c r="E34" s="21">
        <f t="shared" si="1"/>
        <v>-10.15</v>
      </c>
      <c r="F34" s="22">
        <f t="shared" si="2"/>
        <v>10.15</v>
      </c>
      <c r="G34" s="3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2">
        <v>46028.0</v>
      </c>
      <c r="B35" s="2"/>
      <c r="C35" s="19">
        <v>0.33</v>
      </c>
      <c r="D35" s="20" t="s">
        <v>2</v>
      </c>
      <c r="E35" s="21">
        <f t="shared" si="1"/>
        <v>-47.85</v>
      </c>
      <c r="F35" s="22">
        <f t="shared" si="2"/>
        <v>47.85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2">
        <v>46029.0</v>
      </c>
      <c r="B36" s="2"/>
      <c r="C36" s="19">
        <v>0.97</v>
      </c>
      <c r="D36" s="20" t="s">
        <v>2</v>
      </c>
      <c r="E36" s="21">
        <f t="shared" si="1"/>
        <v>-140.65</v>
      </c>
      <c r="F36" s="22">
        <f t="shared" si="2"/>
        <v>140.65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2">
        <v>46030.0</v>
      </c>
      <c r="B37" s="2"/>
      <c r="C37" s="19">
        <v>0.08</v>
      </c>
      <c r="D37" s="20" t="s">
        <v>2</v>
      </c>
      <c r="E37" s="21">
        <f t="shared" si="1"/>
        <v>-11.6</v>
      </c>
      <c r="F37" s="22">
        <f t="shared" si="2"/>
        <v>11.6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2"/>
      <c r="B38" s="2"/>
      <c r="C38" s="19"/>
      <c r="D38" s="20" t="s">
        <v>2</v>
      </c>
      <c r="E38" s="21">
        <f t="shared" si="1"/>
        <v>0</v>
      </c>
      <c r="F38" s="22">
        <f t="shared" si="2"/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2"/>
      <c r="B39" s="33"/>
      <c r="C39" s="35"/>
      <c r="D39" s="20" t="s">
        <v>2</v>
      </c>
      <c r="E39" s="21">
        <f t="shared" si="1"/>
        <v>0</v>
      </c>
      <c r="F39" s="22">
        <f t="shared" si="2"/>
        <v>0</v>
      </c>
      <c r="G39" s="3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2"/>
      <c r="B40" s="33"/>
      <c r="C40" s="19"/>
      <c r="D40" s="20" t="s">
        <v>2</v>
      </c>
      <c r="E40" s="21">
        <f t="shared" si="1"/>
        <v>0</v>
      </c>
      <c r="F40" s="22">
        <f t="shared" si="2"/>
        <v>0</v>
      </c>
      <c r="G40" s="3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2">
        <v>46050.0</v>
      </c>
      <c r="B41" s="2"/>
      <c r="C41" s="19">
        <v>2.96</v>
      </c>
      <c r="D41" s="20" t="s">
        <v>2</v>
      </c>
      <c r="E41" s="21">
        <f t="shared" si="1"/>
        <v>-429.2</v>
      </c>
      <c r="F41" s="22">
        <f t="shared" si="2"/>
        <v>429.2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2">
        <v>46051.0</v>
      </c>
      <c r="B42" s="33"/>
      <c r="C42" s="19">
        <v>2.65</v>
      </c>
      <c r="D42" s="20" t="s">
        <v>2</v>
      </c>
      <c r="E42" s="21">
        <f t="shared" si="1"/>
        <v>-384.25</v>
      </c>
      <c r="F42" s="22">
        <f t="shared" si="2"/>
        <v>384.25</v>
      </c>
      <c r="G42" s="3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2">
        <v>46052.0</v>
      </c>
      <c r="B43" s="33"/>
      <c r="C43" s="19">
        <v>4.81</v>
      </c>
      <c r="D43" s="20" t="s">
        <v>2</v>
      </c>
      <c r="E43" s="21">
        <f t="shared" si="1"/>
        <v>-697.45</v>
      </c>
      <c r="F43" s="22">
        <f t="shared" si="2"/>
        <v>697.45</v>
      </c>
      <c r="G43" s="3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2">
        <v>46053.0</v>
      </c>
      <c r="B44" s="33">
        <v>1500.0</v>
      </c>
      <c r="C44" s="19">
        <v>1.75</v>
      </c>
      <c r="D44" s="20" t="s">
        <v>2</v>
      </c>
      <c r="E44" s="21">
        <f t="shared" si="1"/>
        <v>1246.25</v>
      </c>
      <c r="F44" s="22">
        <f t="shared" si="2"/>
        <v>253.75</v>
      </c>
      <c r="G44" s="34" t="s">
        <v>22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2">
        <v>46054.0</v>
      </c>
      <c r="B45" s="2"/>
      <c r="C45" s="19">
        <v>6.56</v>
      </c>
      <c r="D45" s="20" t="s">
        <v>2</v>
      </c>
      <c r="E45" s="21">
        <f t="shared" si="1"/>
        <v>-951.2</v>
      </c>
      <c r="F45" s="22">
        <f t="shared" si="2"/>
        <v>951.2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2">
        <v>46055.0</v>
      </c>
      <c r="B46" s="33">
        <v>1000.0</v>
      </c>
      <c r="C46" s="19">
        <v>3.96</v>
      </c>
      <c r="D46" s="20" t="s">
        <v>2</v>
      </c>
      <c r="E46" s="21">
        <f t="shared" si="1"/>
        <v>425.8</v>
      </c>
      <c r="F46" s="22">
        <f t="shared" si="2"/>
        <v>574.2</v>
      </c>
      <c r="G46" s="34" t="s">
        <v>23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2">
        <v>46056.0</v>
      </c>
      <c r="B47" s="33"/>
      <c r="C47" s="19">
        <v>1.91</v>
      </c>
      <c r="D47" s="20" t="s">
        <v>2</v>
      </c>
      <c r="E47" s="21">
        <f t="shared" si="1"/>
        <v>-276.95</v>
      </c>
      <c r="F47" s="22">
        <f t="shared" si="2"/>
        <v>276.95</v>
      </c>
      <c r="G47" s="3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2">
        <v>46057.0</v>
      </c>
      <c r="B48" s="33">
        <v>500.0</v>
      </c>
      <c r="C48" s="19"/>
      <c r="D48" s="20" t="s">
        <v>2</v>
      </c>
      <c r="E48" s="21">
        <f t="shared" si="1"/>
        <v>500</v>
      </c>
      <c r="F48" s="22">
        <f t="shared" si="2"/>
        <v>0</v>
      </c>
      <c r="G48" s="34" t="s">
        <v>24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2"/>
      <c r="B49" s="33"/>
      <c r="C49" s="19"/>
      <c r="D49" s="20"/>
      <c r="E49" s="21"/>
      <c r="F49" s="22"/>
      <c r="G49" s="3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2">
        <v>46061.0</v>
      </c>
      <c r="B50" s="33"/>
      <c r="C50" s="19">
        <v>0.84</v>
      </c>
      <c r="D50" s="20" t="s">
        <v>2</v>
      </c>
      <c r="E50" s="21">
        <f t="shared" ref="E50:E92" si="3">B50-F50</f>
        <v>-121.8</v>
      </c>
      <c r="F50" s="22">
        <f t="shared" ref="F50:F80" si="4">IF(ISBLANK(D50) ,0,IF(D50="Tiktok",C50*155,C50*145))</f>
        <v>121.8</v>
      </c>
      <c r="G50" s="3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2">
        <v>46062.0</v>
      </c>
      <c r="B51" s="33"/>
      <c r="C51" s="19">
        <v>0.61</v>
      </c>
      <c r="D51" s="20" t="s">
        <v>2</v>
      </c>
      <c r="E51" s="21">
        <f t="shared" si="3"/>
        <v>-88.45</v>
      </c>
      <c r="F51" s="22">
        <f t="shared" si="4"/>
        <v>88.45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2">
        <v>46063.0</v>
      </c>
      <c r="B52" s="33"/>
      <c r="C52" s="19">
        <v>0.28</v>
      </c>
      <c r="D52" s="20" t="s">
        <v>2</v>
      </c>
      <c r="E52" s="21">
        <f t="shared" si="3"/>
        <v>-40.6</v>
      </c>
      <c r="F52" s="22">
        <f t="shared" si="4"/>
        <v>40.6</v>
      </c>
      <c r="G52" s="3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2">
        <v>46064.0</v>
      </c>
      <c r="B53" s="2"/>
      <c r="C53" s="19">
        <v>0.94</v>
      </c>
      <c r="D53" s="20" t="s">
        <v>2</v>
      </c>
      <c r="E53" s="21">
        <f t="shared" si="3"/>
        <v>-136.3</v>
      </c>
      <c r="F53" s="22">
        <f t="shared" si="4"/>
        <v>136.3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2">
        <v>46065.0</v>
      </c>
      <c r="B54" s="33"/>
      <c r="C54" s="19">
        <v>0.64</v>
      </c>
      <c r="D54" s="20" t="s">
        <v>2</v>
      </c>
      <c r="E54" s="21">
        <f t="shared" si="3"/>
        <v>-92.8</v>
      </c>
      <c r="F54" s="22">
        <f t="shared" si="4"/>
        <v>92.8</v>
      </c>
      <c r="G54" s="3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2"/>
      <c r="B55" s="2"/>
      <c r="C55" s="19"/>
      <c r="D55" s="20" t="s">
        <v>2</v>
      </c>
      <c r="E55" s="21">
        <f t="shared" si="3"/>
        <v>0</v>
      </c>
      <c r="F55" s="22">
        <f t="shared" si="4"/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2"/>
      <c r="B56" s="33"/>
      <c r="C56" s="35"/>
      <c r="D56" s="20" t="s">
        <v>2</v>
      </c>
      <c r="E56" s="21">
        <f t="shared" si="3"/>
        <v>0</v>
      </c>
      <c r="F56" s="22">
        <f t="shared" si="4"/>
        <v>0</v>
      </c>
      <c r="G56" s="3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2"/>
      <c r="B57" s="2"/>
      <c r="C57" s="35"/>
      <c r="D57" s="20" t="s">
        <v>2</v>
      </c>
      <c r="E57" s="21">
        <f t="shared" si="3"/>
        <v>0</v>
      </c>
      <c r="F57" s="22">
        <f t="shared" si="4"/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2"/>
      <c r="B58" s="2"/>
      <c r="C58" s="37"/>
      <c r="D58" s="20" t="s">
        <v>2</v>
      </c>
      <c r="E58" s="21">
        <f t="shared" si="3"/>
        <v>0</v>
      </c>
      <c r="F58" s="22">
        <f t="shared" si="4"/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2">
        <v>46076.0</v>
      </c>
      <c r="B59" s="33">
        <v>1500.0</v>
      </c>
      <c r="C59" s="19">
        <v>1.61</v>
      </c>
      <c r="D59" s="20" t="s">
        <v>2</v>
      </c>
      <c r="E59" s="21">
        <f t="shared" si="3"/>
        <v>1266.55</v>
      </c>
      <c r="F59" s="22">
        <f t="shared" si="4"/>
        <v>233.45</v>
      </c>
      <c r="G59" s="34" t="s">
        <v>25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2">
        <v>46077.0</v>
      </c>
      <c r="B60" s="2"/>
      <c r="C60" s="19">
        <v>1.79</v>
      </c>
      <c r="D60" s="20" t="s">
        <v>2</v>
      </c>
      <c r="E60" s="21">
        <f t="shared" si="3"/>
        <v>-259.55</v>
      </c>
      <c r="F60" s="22">
        <f t="shared" si="4"/>
        <v>259.55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2">
        <v>46078.0</v>
      </c>
      <c r="B61" s="33"/>
      <c r="C61" s="19">
        <v>1.22</v>
      </c>
      <c r="D61" s="20" t="s">
        <v>2</v>
      </c>
      <c r="E61" s="21">
        <f t="shared" si="3"/>
        <v>-176.9</v>
      </c>
      <c r="F61" s="22">
        <f t="shared" si="4"/>
        <v>176.9</v>
      </c>
      <c r="G61" s="3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2">
        <v>46079.0</v>
      </c>
      <c r="B62" s="2"/>
      <c r="C62" s="37">
        <v>1.48</v>
      </c>
      <c r="D62" s="20" t="s">
        <v>2</v>
      </c>
      <c r="E62" s="21">
        <f t="shared" si="3"/>
        <v>-214.6</v>
      </c>
      <c r="F62" s="22">
        <f t="shared" si="4"/>
        <v>214.6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2">
        <v>46080.0</v>
      </c>
      <c r="B63" s="33"/>
      <c r="C63" s="37">
        <v>0.87</v>
      </c>
      <c r="D63" s="20" t="s">
        <v>2</v>
      </c>
      <c r="E63" s="21">
        <f t="shared" si="3"/>
        <v>-126.15</v>
      </c>
      <c r="F63" s="22">
        <f t="shared" si="4"/>
        <v>126.15</v>
      </c>
      <c r="G63" s="3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2">
        <v>46081.0</v>
      </c>
      <c r="B64" s="33"/>
      <c r="C64" s="19">
        <v>0.42</v>
      </c>
      <c r="D64" s="20" t="s">
        <v>2</v>
      </c>
      <c r="E64" s="21">
        <f t="shared" si="3"/>
        <v>-60.9</v>
      </c>
      <c r="F64" s="22">
        <f t="shared" si="4"/>
        <v>60.9</v>
      </c>
      <c r="G64" s="3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2">
        <v>46082.0</v>
      </c>
      <c r="B65" s="33"/>
      <c r="C65" s="37">
        <v>3.79</v>
      </c>
      <c r="D65" s="20" t="s">
        <v>2</v>
      </c>
      <c r="E65" s="21">
        <f t="shared" si="3"/>
        <v>-549.55</v>
      </c>
      <c r="F65" s="22">
        <f t="shared" si="4"/>
        <v>549.55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2">
        <v>46083.0</v>
      </c>
      <c r="B66" s="33"/>
      <c r="C66" s="37">
        <v>4.42</v>
      </c>
      <c r="D66" s="20" t="s">
        <v>2</v>
      </c>
      <c r="E66" s="21">
        <f t="shared" si="3"/>
        <v>-640.9</v>
      </c>
      <c r="F66" s="22">
        <f t="shared" si="4"/>
        <v>640.9</v>
      </c>
      <c r="G66" s="3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2"/>
      <c r="B67" s="2"/>
      <c r="C67" s="37"/>
      <c r="D67" s="20" t="s">
        <v>2</v>
      </c>
      <c r="E67" s="21">
        <f t="shared" si="3"/>
        <v>0</v>
      </c>
      <c r="F67" s="22">
        <f t="shared" si="4"/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2"/>
      <c r="B68" s="2"/>
      <c r="C68" s="19"/>
      <c r="D68" s="20" t="s">
        <v>2</v>
      </c>
      <c r="E68" s="21">
        <f t="shared" si="3"/>
        <v>0</v>
      </c>
      <c r="F68" s="22">
        <f t="shared" si="4"/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2">
        <v>46088.0</v>
      </c>
      <c r="B69" s="33">
        <v>500.0</v>
      </c>
      <c r="C69" s="19"/>
      <c r="D69" s="20" t="s">
        <v>2</v>
      </c>
      <c r="E69" s="21">
        <f t="shared" si="3"/>
        <v>500</v>
      </c>
      <c r="F69" s="22">
        <f t="shared" si="4"/>
        <v>0</v>
      </c>
      <c r="G69" s="34" t="s">
        <v>26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2"/>
      <c r="B70" s="2"/>
      <c r="C70" s="38"/>
      <c r="D70" s="20" t="s">
        <v>2</v>
      </c>
      <c r="E70" s="21">
        <f t="shared" si="3"/>
        <v>0</v>
      </c>
      <c r="F70" s="22">
        <f t="shared" si="4"/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2"/>
      <c r="B71" s="2"/>
      <c r="C71" s="38"/>
      <c r="D71" s="20" t="s">
        <v>2</v>
      </c>
      <c r="E71" s="21">
        <f t="shared" si="3"/>
        <v>0</v>
      </c>
      <c r="F71" s="22">
        <f t="shared" si="4"/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2"/>
      <c r="B72" s="2"/>
      <c r="C72" s="38"/>
      <c r="D72" s="20" t="s">
        <v>2</v>
      </c>
      <c r="E72" s="21">
        <f t="shared" si="3"/>
        <v>0</v>
      </c>
      <c r="F72" s="22">
        <f t="shared" si="4"/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2"/>
      <c r="B73" s="2"/>
      <c r="C73" s="38"/>
      <c r="D73" s="20" t="s">
        <v>2</v>
      </c>
      <c r="E73" s="21">
        <f t="shared" si="3"/>
        <v>0</v>
      </c>
      <c r="F73" s="22">
        <f t="shared" si="4"/>
        <v>0</v>
      </c>
      <c r="G73" s="3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2"/>
      <c r="B74" s="33"/>
      <c r="C74" s="38"/>
      <c r="D74" s="20" t="s">
        <v>2</v>
      </c>
      <c r="E74" s="21">
        <f t="shared" si="3"/>
        <v>0</v>
      </c>
      <c r="F74" s="22">
        <f t="shared" si="4"/>
        <v>0</v>
      </c>
      <c r="G74" s="3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9"/>
      <c r="B75" s="2"/>
      <c r="D75" s="20" t="s">
        <v>2</v>
      </c>
      <c r="E75" s="21">
        <f t="shared" si="3"/>
        <v>0</v>
      </c>
      <c r="F75" s="22">
        <f t="shared" si="4"/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9"/>
      <c r="B76" s="2"/>
      <c r="C76" s="34"/>
      <c r="D76" s="20" t="s">
        <v>2</v>
      </c>
      <c r="E76" s="21">
        <f t="shared" si="3"/>
        <v>0</v>
      </c>
      <c r="F76" s="22">
        <f t="shared" si="4"/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9"/>
      <c r="B77" s="2"/>
      <c r="C77" s="34"/>
      <c r="D77" s="20" t="s">
        <v>2</v>
      </c>
      <c r="E77" s="21">
        <f t="shared" si="3"/>
        <v>0</v>
      </c>
      <c r="F77" s="22">
        <f t="shared" si="4"/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9"/>
      <c r="B78" s="2"/>
      <c r="C78" s="3"/>
      <c r="D78" s="20" t="s">
        <v>2</v>
      </c>
      <c r="E78" s="21">
        <f t="shared" si="3"/>
        <v>0</v>
      </c>
      <c r="F78" s="22">
        <f t="shared" si="4"/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9"/>
      <c r="B79" s="33"/>
      <c r="C79" s="34"/>
      <c r="D79" s="20" t="s">
        <v>2</v>
      </c>
      <c r="E79" s="21">
        <f t="shared" si="3"/>
        <v>0</v>
      </c>
      <c r="F79" s="22">
        <f t="shared" si="4"/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9"/>
      <c r="B80" s="2"/>
      <c r="C80" s="40"/>
      <c r="D80" s="20" t="s">
        <v>2</v>
      </c>
      <c r="E80" s="21">
        <f t="shared" si="3"/>
        <v>0</v>
      </c>
      <c r="F80" s="22">
        <f t="shared" si="4"/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9"/>
      <c r="B81" s="33"/>
      <c r="D81" s="20" t="s">
        <v>2</v>
      </c>
      <c r="E81" s="21">
        <f t="shared" si="3"/>
        <v>0</v>
      </c>
      <c r="F81" s="22">
        <f>IF(ISBLANK(D81) ,0,IF(D81="Tiktok",C80*155,C80*145))</f>
        <v>0</v>
      </c>
      <c r="G81" s="3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9"/>
      <c r="B82" s="2"/>
      <c r="C82" s="34"/>
      <c r="D82" s="20" t="s">
        <v>2</v>
      </c>
      <c r="E82" s="21">
        <f t="shared" si="3"/>
        <v>0</v>
      </c>
      <c r="F82" s="22">
        <f t="shared" ref="F82:F86" si="5">IF(ISBLANK(D82) ,0,IF(D82="Tiktok",C82*155,C82*145))</f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9"/>
      <c r="B83" s="2"/>
      <c r="C83" s="34"/>
      <c r="D83" s="20" t="s">
        <v>2</v>
      </c>
      <c r="E83" s="21">
        <f t="shared" si="3"/>
        <v>0</v>
      </c>
      <c r="F83" s="22">
        <f t="shared" si="5"/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9"/>
      <c r="B84" s="33"/>
      <c r="C84" s="34"/>
      <c r="D84" s="20" t="s">
        <v>2</v>
      </c>
      <c r="E84" s="21">
        <f t="shared" si="3"/>
        <v>0</v>
      </c>
      <c r="F84" s="22">
        <f t="shared" si="5"/>
        <v>0</v>
      </c>
      <c r="G84" s="3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9"/>
      <c r="B85" s="2"/>
      <c r="C85" s="3"/>
      <c r="D85" s="20" t="s">
        <v>2</v>
      </c>
      <c r="E85" s="21">
        <f t="shared" si="3"/>
        <v>0</v>
      </c>
      <c r="F85" s="22">
        <f t="shared" si="5"/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9"/>
      <c r="B86" s="2"/>
      <c r="C86" s="34"/>
      <c r="D86" s="20" t="s">
        <v>2</v>
      </c>
      <c r="E86" s="21">
        <f t="shared" si="3"/>
        <v>0</v>
      </c>
      <c r="F86" s="22">
        <f t="shared" si="5"/>
        <v>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9"/>
      <c r="B87" s="33"/>
      <c r="C87" s="34"/>
      <c r="D87" s="20" t="s">
        <v>2</v>
      </c>
      <c r="E87" s="21">
        <f t="shared" si="3"/>
        <v>0</v>
      </c>
      <c r="F87" s="22">
        <f>IF(ISBLANK(D87) ,0,IF(D87="Tiktok",C86*155,C86*145))</f>
        <v>0</v>
      </c>
      <c r="G87" s="3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9"/>
      <c r="B88" s="2"/>
      <c r="C88" s="34"/>
      <c r="D88" s="20" t="s">
        <v>2</v>
      </c>
      <c r="E88" s="21">
        <f t="shared" si="3"/>
        <v>0</v>
      </c>
      <c r="F88" s="22">
        <f t="shared" ref="F88:F92" si="6">IF(ISBLANK(D88) ,0,IF(D88="Tiktok",C88*155,C88*145))</f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9"/>
      <c r="B89" s="2"/>
      <c r="C89" s="34"/>
      <c r="D89" s="20" t="s">
        <v>2</v>
      </c>
      <c r="E89" s="21">
        <f t="shared" si="3"/>
        <v>0</v>
      </c>
      <c r="F89" s="22">
        <f t="shared" si="6"/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9"/>
      <c r="B90" s="2"/>
      <c r="C90" s="34"/>
      <c r="D90" s="20" t="s">
        <v>2</v>
      </c>
      <c r="E90" s="21">
        <f t="shared" si="3"/>
        <v>0</v>
      </c>
      <c r="F90" s="22">
        <f t="shared" si="6"/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9"/>
      <c r="B91" s="2"/>
      <c r="C91" s="34"/>
      <c r="D91" s="20" t="s">
        <v>2</v>
      </c>
      <c r="E91" s="21">
        <f t="shared" si="3"/>
        <v>0</v>
      </c>
      <c r="F91" s="22">
        <f t="shared" si="6"/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9"/>
      <c r="B92" s="2"/>
      <c r="C92" s="3"/>
      <c r="D92" s="20" t="s">
        <v>2</v>
      </c>
      <c r="E92" s="21">
        <f t="shared" si="3"/>
        <v>0</v>
      </c>
      <c r="F92" s="22">
        <f t="shared" si="6"/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9"/>
      <c r="B93" s="2"/>
      <c r="C93" s="3"/>
      <c r="D93" s="20" t="s">
        <v>2</v>
      </c>
      <c r="E93" s="22">
        <f t="shared" ref="E93:E104" si="7">IF(ISBLANK(C93) ,0,IF(C93="Tiktok",B93*155,B93*145))</f>
        <v>0</v>
      </c>
      <c r="F93" s="22">
        <f>IF(ISBLANK(D93) ,0,IF(D93="Tiktok",C92*155,C92*145))</f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9"/>
      <c r="B94" s="2"/>
      <c r="C94" s="3"/>
      <c r="D94" s="20" t="s">
        <v>2</v>
      </c>
      <c r="E94" s="22">
        <f t="shared" si="7"/>
        <v>0</v>
      </c>
      <c r="F94" s="22">
        <f t="shared" ref="F94:F104" si="8">IF(ISBLANK(D94) ,0,IF(D94="Tiktok",C94*155,C94*145))</f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9"/>
      <c r="B95" s="2"/>
      <c r="C95" s="3"/>
      <c r="D95" s="20" t="s">
        <v>2</v>
      </c>
      <c r="E95" s="22">
        <f t="shared" si="7"/>
        <v>0</v>
      </c>
      <c r="F95" s="22">
        <f t="shared" si="8"/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9"/>
      <c r="B96" s="2"/>
      <c r="C96" s="3"/>
      <c r="D96" s="20" t="s">
        <v>2</v>
      </c>
      <c r="E96" s="22">
        <f t="shared" si="7"/>
        <v>0</v>
      </c>
      <c r="F96" s="22">
        <f t="shared" si="8"/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9"/>
      <c r="B97" s="2"/>
      <c r="C97" s="3"/>
      <c r="D97" s="20" t="s">
        <v>2</v>
      </c>
      <c r="E97" s="22">
        <f t="shared" si="7"/>
        <v>0</v>
      </c>
      <c r="F97" s="22">
        <f t="shared" si="8"/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9"/>
      <c r="B98" s="2"/>
      <c r="C98" s="3"/>
      <c r="D98" s="20" t="s">
        <v>2</v>
      </c>
      <c r="E98" s="22">
        <f t="shared" si="7"/>
        <v>0</v>
      </c>
      <c r="F98" s="22">
        <f t="shared" si="8"/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9"/>
      <c r="B99" s="2"/>
      <c r="C99" s="3"/>
      <c r="D99" s="20" t="s">
        <v>2</v>
      </c>
      <c r="E99" s="22">
        <f t="shared" si="7"/>
        <v>0</v>
      </c>
      <c r="F99" s="22">
        <f t="shared" si="8"/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9"/>
      <c r="B100" s="2"/>
      <c r="C100" s="3"/>
      <c r="D100" s="20" t="s">
        <v>2</v>
      </c>
      <c r="E100" s="22">
        <f t="shared" si="7"/>
        <v>0</v>
      </c>
      <c r="F100" s="22">
        <f t="shared" si="8"/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9"/>
      <c r="B101" s="2"/>
      <c r="C101" s="3"/>
      <c r="D101" s="20" t="s">
        <v>2</v>
      </c>
      <c r="E101" s="22">
        <f t="shared" si="7"/>
        <v>0</v>
      </c>
      <c r="F101" s="22">
        <f t="shared" si="8"/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9"/>
      <c r="B102" s="2"/>
      <c r="C102" s="3"/>
      <c r="D102" s="20" t="s">
        <v>2</v>
      </c>
      <c r="E102" s="22">
        <f t="shared" si="7"/>
        <v>0</v>
      </c>
      <c r="F102" s="22">
        <f t="shared" si="8"/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9"/>
      <c r="B103" s="2"/>
      <c r="C103" s="3"/>
      <c r="D103" s="20" t="s">
        <v>2</v>
      </c>
      <c r="E103" s="22">
        <f t="shared" si="7"/>
        <v>0</v>
      </c>
      <c r="F103" s="22">
        <f t="shared" si="8"/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9"/>
      <c r="B104" s="2"/>
      <c r="C104" s="3"/>
      <c r="D104" s="20" t="s">
        <v>2</v>
      </c>
      <c r="E104" s="22">
        <f t="shared" si="7"/>
        <v>0</v>
      </c>
      <c r="F104" s="22">
        <f t="shared" si="8"/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41">
        <v>46089.0</v>
      </c>
      <c r="B105" s="33" t="s">
        <v>27</v>
      </c>
      <c r="C105" s="3"/>
      <c r="D105" s="20" t="s">
        <v>2</v>
      </c>
      <c r="E105" s="35"/>
      <c r="F105" s="3"/>
      <c r="G105" s="34" t="s">
        <v>28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41">
        <v>46089.0</v>
      </c>
      <c r="B106" s="33" t="s">
        <v>11</v>
      </c>
      <c r="C106" s="3"/>
      <c r="D106" s="20" t="s">
        <v>2</v>
      </c>
      <c r="E106" s="35"/>
      <c r="F106" s="3"/>
      <c r="G106" s="34" t="s">
        <v>12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41">
        <v>46089.0</v>
      </c>
      <c r="B107" s="33" t="s">
        <v>11</v>
      </c>
      <c r="C107" s="3"/>
      <c r="D107" s="20" t="s">
        <v>2</v>
      </c>
      <c r="E107" s="35"/>
      <c r="F107" s="3"/>
      <c r="G107" s="34" t="s">
        <v>12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41">
        <v>46089.0</v>
      </c>
      <c r="B108" s="33" t="s">
        <v>27</v>
      </c>
      <c r="C108" s="3"/>
      <c r="D108" s="20" t="s">
        <v>2</v>
      </c>
      <c r="E108" s="35"/>
      <c r="F108" s="3"/>
      <c r="G108" s="34" t="s">
        <v>28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41">
        <v>46089.0</v>
      </c>
      <c r="B109" s="33" t="s">
        <v>11</v>
      </c>
      <c r="C109" s="3"/>
      <c r="D109" s="20" t="s">
        <v>2</v>
      </c>
      <c r="E109" s="35"/>
      <c r="F109" s="3"/>
      <c r="G109" s="34" t="s">
        <v>12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41">
        <v>46089.0</v>
      </c>
      <c r="B110" s="33" t="s">
        <v>11</v>
      </c>
      <c r="C110" s="3"/>
      <c r="D110" s="20" t="s">
        <v>2</v>
      </c>
      <c r="E110" s="35"/>
      <c r="F110" s="3"/>
      <c r="G110" s="34" t="s">
        <v>12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41">
        <v>46089.0</v>
      </c>
      <c r="B111" s="33" t="s">
        <v>11</v>
      </c>
      <c r="C111" s="3"/>
      <c r="D111" s="20" t="s">
        <v>2</v>
      </c>
      <c r="E111" s="35"/>
      <c r="F111" s="3"/>
      <c r="G111" s="34" t="s">
        <v>12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41">
        <v>46089.0</v>
      </c>
      <c r="B112" s="33" t="s">
        <v>11</v>
      </c>
      <c r="C112" s="3"/>
      <c r="D112" s="20" t="s">
        <v>2</v>
      </c>
      <c r="E112" s="35"/>
      <c r="F112" s="3"/>
      <c r="G112" s="34" t="s">
        <v>12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2"/>
      <c r="C113" s="3"/>
      <c r="D113" s="42"/>
      <c r="E113" s="3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2"/>
      <c r="C114" s="3"/>
      <c r="D114" s="42"/>
      <c r="E114" s="3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2"/>
      <c r="C115" s="3"/>
      <c r="D115" s="42"/>
      <c r="E115" s="3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2"/>
      <c r="C116" s="3"/>
      <c r="D116" s="42"/>
      <c r="E116" s="3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2"/>
      <c r="C117" s="3"/>
      <c r="D117" s="42"/>
      <c r="E117" s="3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2"/>
      <c r="C118" s="3"/>
      <c r="D118" s="42"/>
      <c r="E118" s="3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2"/>
      <c r="C119" s="3"/>
      <c r="D119" s="42"/>
      <c r="E119" s="3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2"/>
      <c r="C120" s="3"/>
      <c r="D120" s="42"/>
      <c r="E120" s="3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2"/>
      <c r="C121" s="3"/>
      <c r="D121" s="42"/>
      <c r="E121" s="3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2"/>
      <c r="C122" s="3"/>
      <c r="D122" s="42"/>
      <c r="E122" s="3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2"/>
      <c r="C123" s="3"/>
      <c r="D123" s="42"/>
      <c r="E123" s="3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2"/>
      <c r="C124" s="3"/>
      <c r="D124" s="42"/>
      <c r="E124" s="3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2"/>
      <c r="C125" s="3"/>
      <c r="D125" s="42"/>
      <c r="E125" s="3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2"/>
      <c r="C126" s="3"/>
      <c r="D126" s="42"/>
      <c r="E126" s="3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2"/>
      <c r="C127" s="3"/>
      <c r="D127" s="42"/>
      <c r="E127" s="3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2"/>
      <c r="C128" s="3"/>
      <c r="D128" s="42"/>
      <c r="E128" s="3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2"/>
      <c r="C129" s="3"/>
      <c r="D129" s="42"/>
      <c r="E129" s="3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2"/>
      <c r="C130" s="3"/>
      <c r="D130" s="42"/>
      <c r="E130" s="3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2"/>
      <c r="C131" s="3"/>
      <c r="D131" s="42"/>
      <c r="E131" s="3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2"/>
      <c r="C132" s="3"/>
      <c r="D132" s="42"/>
      <c r="E132" s="3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2"/>
      <c r="C133" s="3"/>
      <c r="D133" s="42"/>
      <c r="E133" s="3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2"/>
      <c r="C134" s="3"/>
      <c r="D134" s="42"/>
      <c r="E134" s="3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2"/>
      <c r="C135" s="3"/>
      <c r="D135" s="42"/>
      <c r="E135" s="3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2"/>
      <c r="C136" s="3"/>
      <c r="D136" s="42"/>
      <c r="E136" s="3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2"/>
      <c r="C137" s="3"/>
      <c r="D137" s="42"/>
      <c r="E137" s="3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2"/>
      <c r="C138" s="3"/>
      <c r="D138" s="42"/>
      <c r="E138" s="3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2"/>
      <c r="C139" s="3"/>
      <c r="D139" s="42"/>
      <c r="E139" s="3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2"/>
      <c r="C140" s="3"/>
      <c r="D140" s="42"/>
      <c r="E140" s="3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2"/>
      <c r="C141" s="3"/>
      <c r="D141" s="42"/>
      <c r="E141" s="3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2"/>
      <c r="C142" s="3"/>
      <c r="D142" s="42"/>
      <c r="E142" s="3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2"/>
      <c r="C143" s="3"/>
      <c r="D143" s="42"/>
      <c r="E143" s="3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2"/>
      <c r="C144" s="3"/>
      <c r="D144" s="42"/>
      <c r="E144" s="3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2"/>
      <c r="C145" s="3"/>
      <c r="D145" s="42"/>
      <c r="E145" s="3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2"/>
      <c r="C146" s="3"/>
      <c r="D146" s="42"/>
      <c r="E146" s="3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2"/>
      <c r="C147" s="3"/>
      <c r="D147" s="42"/>
      <c r="E147" s="3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2"/>
      <c r="C148" s="3"/>
      <c r="D148" s="42"/>
      <c r="E148" s="3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2"/>
      <c r="C149" s="3"/>
      <c r="D149" s="42"/>
      <c r="E149" s="3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2"/>
      <c r="C150" s="3"/>
      <c r="D150" s="42"/>
      <c r="E150" s="3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2"/>
      <c r="C151" s="3"/>
      <c r="D151" s="42"/>
      <c r="E151" s="3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2"/>
      <c r="C152" s="3"/>
      <c r="D152" s="42"/>
      <c r="E152" s="3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2"/>
      <c r="C153" s="3"/>
      <c r="D153" s="42"/>
      <c r="E153" s="3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2"/>
      <c r="C154" s="3"/>
      <c r="D154" s="42"/>
      <c r="E154" s="3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2"/>
      <c r="C155" s="3"/>
      <c r="D155" s="42"/>
      <c r="E155" s="3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2"/>
      <c r="C156" s="3"/>
      <c r="D156" s="42"/>
      <c r="E156" s="3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2"/>
      <c r="C157" s="3"/>
      <c r="D157" s="42"/>
      <c r="E157" s="3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2"/>
      <c r="C158" s="3"/>
      <c r="D158" s="42"/>
      <c r="E158" s="3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2"/>
      <c r="C159" s="3"/>
      <c r="D159" s="42"/>
      <c r="E159" s="3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2"/>
      <c r="C160" s="3"/>
      <c r="D160" s="42"/>
      <c r="E160" s="3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2"/>
      <c r="C161" s="3"/>
      <c r="D161" s="42"/>
      <c r="E161" s="3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2"/>
      <c r="C162" s="3"/>
      <c r="D162" s="42"/>
      <c r="E162" s="3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2"/>
      <c r="C163" s="3"/>
      <c r="D163" s="42"/>
      <c r="E163" s="3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2"/>
      <c r="C164" s="3"/>
      <c r="D164" s="42"/>
      <c r="E164" s="3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2"/>
      <c r="C165" s="3"/>
      <c r="D165" s="42"/>
      <c r="E165" s="3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2"/>
      <c r="C166" s="3"/>
      <c r="D166" s="42"/>
      <c r="E166" s="3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2"/>
      <c r="C167" s="3"/>
      <c r="D167" s="42"/>
      <c r="E167" s="3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2"/>
      <c r="C168" s="3"/>
      <c r="D168" s="42"/>
      <c r="E168" s="3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2"/>
      <c r="C169" s="3"/>
      <c r="D169" s="42"/>
      <c r="E169" s="3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2"/>
      <c r="C170" s="3"/>
      <c r="D170" s="42"/>
      <c r="E170" s="3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2"/>
      <c r="C171" s="3"/>
      <c r="D171" s="42"/>
      <c r="E171" s="3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2"/>
      <c r="C172" s="3"/>
      <c r="D172" s="42"/>
      <c r="E172" s="3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2"/>
      <c r="C173" s="3"/>
      <c r="D173" s="42"/>
      <c r="E173" s="3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2"/>
      <c r="C174" s="3"/>
      <c r="D174" s="42"/>
      <c r="E174" s="3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2"/>
      <c r="C175" s="3"/>
      <c r="D175" s="42"/>
      <c r="E175" s="3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2"/>
      <c r="C176" s="3"/>
      <c r="D176" s="42"/>
      <c r="E176" s="3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2"/>
      <c r="C177" s="3"/>
      <c r="D177" s="42"/>
      <c r="E177" s="3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2"/>
      <c r="C178" s="3"/>
      <c r="D178" s="42"/>
      <c r="E178" s="3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2"/>
      <c r="C179" s="3"/>
      <c r="D179" s="42"/>
      <c r="E179" s="3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2"/>
      <c r="C180" s="3"/>
      <c r="D180" s="42"/>
      <c r="E180" s="3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2"/>
      <c r="C181" s="3"/>
      <c r="D181" s="42"/>
      <c r="E181" s="3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2"/>
      <c r="C182" s="3"/>
      <c r="D182" s="42"/>
      <c r="E182" s="3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2"/>
      <c r="C183" s="3"/>
      <c r="D183" s="42"/>
      <c r="E183" s="3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2"/>
      <c r="C184" s="3"/>
      <c r="D184" s="42"/>
      <c r="E184" s="3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2"/>
      <c r="C185" s="3"/>
      <c r="D185" s="42"/>
      <c r="E185" s="3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2"/>
      <c r="C186" s="3"/>
      <c r="D186" s="42"/>
      <c r="E186" s="3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2"/>
      <c r="C187" s="3"/>
      <c r="D187" s="42"/>
      <c r="E187" s="3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2"/>
      <c r="C188" s="3"/>
      <c r="D188" s="42"/>
      <c r="E188" s="3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2"/>
      <c r="C189" s="3"/>
      <c r="D189" s="42"/>
      <c r="E189" s="3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2"/>
      <c r="C190" s="3"/>
      <c r="D190" s="42"/>
      <c r="E190" s="3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2"/>
      <c r="C191" s="3"/>
      <c r="D191" s="42"/>
      <c r="E191" s="3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2"/>
      <c r="C192" s="3"/>
      <c r="D192" s="42"/>
      <c r="E192" s="3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2"/>
      <c r="C193" s="3"/>
      <c r="D193" s="42"/>
      <c r="E193" s="3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2"/>
      <c r="C194" s="3"/>
      <c r="D194" s="42"/>
      <c r="E194" s="3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2"/>
      <c r="C195" s="3"/>
      <c r="D195" s="42"/>
      <c r="E195" s="3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2"/>
      <c r="C196" s="3"/>
      <c r="D196" s="42"/>
      <c r="E196" s="3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2"/>
      <c r="C197" s="3"/>
      <c r="D197" s="42"/>
      <c r="E197" s="3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2"/>
      <c r="C198" s="3"/>
      <c r="D198" s="42"/>
      <c r="E198" s="3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2"/>
      <c r="C199" s="3"/>
      <c r="D199" s="42"/>
      <c r="E199" s="3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2"/>
      <c r="C200" s="3"/>
      <c r="D200" s="42"/>
      <c r="E200" s="3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2"/>
      <c r="C201" s="3"/>
      <c r="D201" s="42"/>
      <c r="E201" s="3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2"/>
      <c r="C202" s="3"/>
      <c r="D202" s="42"/>
      <c r="E202" s="3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2"/>
      <c r="C203" s="3"/>
      <c r="D203" s="42"/>
      <c r="E203" s="3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2"/>
      <c r="C204" s="3"/>
      <c r="D204" s="42"/>
      <c r="E204" s="3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2"/>
      <c r="C205" s="3"/>
      <c r="D205" s="42"/>
      <c r="E205" s="3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2"/>
      <c r="C206" s="3"/>
      <c r="D206" s="42"/>
      <c r="E206" s="3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2"/>
      <c r="C207" s="3"/>
      <c r="D207" s="42"/>
      <c r="E207" s="3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2"/>
      <c r="C208" s="3"/>
      <c r="D208" s="42"/>
      <c r="E208" s="3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2"/>
      <c r="C209" s="3"/>
      <c r="D209" s="42"/>
      <c r="E209" s="3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2"/>
      <c r="C210" s="3"/>
      <c r="D210" s="42"/>
      <c r="E210" s="3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2"/>
      <c r="C211" s="3"/>
      <c r="D211" s="42"/>
      <c r="E211" s="3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2"/>
      <c r="C212" s="3"/>
      <c r="D212" s="42"/>
      <c r="E212" s="3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2"/>
      <c r="C213" s="3"/>
      <c r="D213" s="42"/>
      <c r="E213" s="3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2"/>
      <c r="C214" s="3"/>
      <c r="D214" s="42"/>
      <c r="E214" s="3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2"/>
      <c r="C215" s="3"/>
      <c r="D215" s="42"/>
      <c r="E215" s="3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2"/>
      <c r="C216" s="3"/>
      <c r="D216" s="42"/>
      <c r="E216" s="3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2"/>
      <c r="C217" s="3"/>
      <c r="D217" s="42"/>
      <c r="E217" s="3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2"/>
      <c r="C218" s="3"/>
      <c r="D218" s="42"/>
      <c r="E218" s="3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2"/>
      <c r="C219" s="3"/>
      <c r="D219" s="42"/>
      <c r="E219" s="3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2"/>
      <c r="C220" s="3"/>
      <c r="D220" s="42"/>
      <c r="E220" s="3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2"/>
      <c r="C221" s="3"/>
      <c r="D221" s="42"/>
      <c r="E221" s="3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2"/>
      <c r="C222" s="3"/>
      <c r="D222" s="42"/>
      <c r="E222" s="3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2"/>
      <c r="C223" s="3"/>
      <c r="D223" s="42"/>
      <c r="E223" s="3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2"/>
      <c r="C224" s="3"/>
      <c r="D224" s="42"/>
      <c r="E224" s="3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2"/>
      <c r="C225" s="3"/>
      <c r="D225" s="42"/>
      <c r="E225" s="3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2"/>
      <c r="C226" s="3"/>
      <c r="D226" s="42"/>
      <c r="E226" s="3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2"/>
      <c r="C227" s="3"/>
      <c r="D227" s="42"/>
      <c r="E227" s="3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2"/>
      <c r="C228" s="3"/>
      <c r="D228" s="42"/>
      <c r="E228" s="3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2"/>
      <c r="C229" s="3"/>
      <c r="D229" s="42"/>
      <c r="E229" s="3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2"/>
      <c r="C230" s="3"/>
      <c r="D230" s="42"/>
      <c r="E230" s="3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2"/>
      <c r="C231" s="3"/>
      <c r="D231" s="42"/>
      <c r="E231" s="3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2"/>
      <c r="C232" s="3"/>
      <c r="D232" s="42"/>
      <c r="E232" s="3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42"/>
      <c r="E233" s="3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42"/>
      <c r="E234" s="3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42"/>
      <c r="E235" s="3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42"/>
      <c r="E236" s="3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42"/>
      <c r="E237" s="3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42"/>
      <c r="E238" s="3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42"/>
      <c r="E239" s="3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42"/>
      <c r="E240" s="3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42"/>
      <c r="E241" s="3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42"/>
      <c r="E242" s="3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42"/>
      <c r="E243" s="3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42"/>
      <c r="E244" s="3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42"/>
      <c r="E245" s="3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42"/>
      <c r="E246" s="3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42"/>
      <c r="E247" s="3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42"/>
      <c r="E248" s="3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42"/>
      <c r="E249" s="3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42"/>
      <c r="E250" s="3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42"/>
      <c r="E251" s="3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42"/>
      <c r="E252" s="3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42"/>
      <c r="E253" s="3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42"/>
      <c r="E254" s="3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42"/>
      <c r="E255" s="3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42"/>
      <c r="E256" s="3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42"/>
      <c r="E257" s="3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42"/>
      <c r="E258" s="3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42"/>
      <c r="E259" s="3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42"/>
      <c r="E260" s="3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42"/>
      <c r="E261" s="3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42"/>
      <c r="E262" s="3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42"/>
      <c r="E263" s="3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42"/>
      <c r="E264" s="3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42"/>
      <c r="E265" s="3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42"/>
      <c r="E266" s="3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42"/>
      <c r="E267" s="3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42"/>
      <c r="E268" s="3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42"/>
      <c r="E269" s="3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42"/>
      <c r="E270" s="3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42"/>
      <c r="E271" s="3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42"/>
      <c r="E272" s="3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42"/>
      <c r="E273" s="3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42"/>
      <c r="E274" s="3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42"/>
      <c r="E275" s="3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42"/>
      <c r="E276" s="3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42"/>
      <c r="E277" s="3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42"/>
      <c r="E278" s="3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42"/>
      <c r="E279" s="3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42"/>
      <c r="E280" s="3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42"/>
      <c r="E281" s="3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42"/>
      <c r="E282" s="3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42"/>
      <c r="E283" s="3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42"/>
      <c r="E284" s="3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42"/>
      <c r="E285" s="3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42"/>
      <c r="E286" s="3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42"/>
      <c r="E287" s="3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42"/>
      <c r="E288" s="3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42"/>
      <c r="E289" s="3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42"/>
      <c r="E290" s="3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42"/>
      <c r="E291" s="3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42"/>
      <c r="E292" s="3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42"/>
      <c r="E293" s="3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42"/>
      <c r="E294" s="3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42"/>
      <c r="E295" s="3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42"/>
      <c r="E296" s="3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42"/>
      <c r="E297" s="3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42"/>
      <c r="E298" s="3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42"/>
      <c r="E299" s="3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42"/>
      <c r="E300" s="3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42"/>
      <c r="E301" s="3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42"/>
      <c r="E302" s="3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42"/>
      <c r="E303" s="3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42"/>
      <c r="E304" s="3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42"/>
      <c r="E305" s="3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42"/>
      <c r="E306" s="3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42"/>
      <c r="E307" s="3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42"/>
      <c r="E308" s="3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42"/>
      <c r="E309" s="3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42"/>
      <c r="E310" s="3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42"/>
      <c r="E311" s="3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42"/>
      <c r="E312" s="3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42"/>
      <c r="E313" s="3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42"/>
      <c r="E314" s="3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42"/>
      <c r="E315" s="3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42"/>
      <c r="E316" s="3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42"/>
      <c r="E317" s="3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42"/>
      <c r="E318" s="3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42"/>
      <c r="E319" s="3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42"/>
      <c r="E320" s="3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42"/>
      <c r="E321" s="3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42"/>
      <c r="E322" s="3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42"/>
      <c r="E323" s="3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42"/>
      <c r="E324" s="3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42"/>
      <c r="E325" s="3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42"/>
      <c r="E326" s="3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42"/>
      <c r="E327" s="3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42"/>
      <c r="E328" s="3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42"/>
      <c r="E329" s="3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42"/>
      <c r="E330" s="3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42"/>
      <c r="E331" s="3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42"/>
      <c r="E332" s="3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42"/>
      <c r="E333" s="3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42"/>
      <c r="E334" s="3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42"/>
      <c r="E335" s="3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42"/>
      <c r="E336" s="3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42"/>
      <c r="E337" s="3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42"/>
      <c r="E338" s="3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42"/>
      <c r="E339" s="3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42"/>
      <c r="E340" s="3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42"/>
      <c r="E341" s="3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42"/>
      <c r="E342" s="3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42"/>
      <c r="E343" s="3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42"/>
      <c r="E344" s="3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42"/>
      <c r="E345" s="3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42"/>
      <c r="E346" s="3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42"/>
      <c r="E347" s="3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42"/>
      <c r="E348" s="3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42"/>
      <c r="E349" s="3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42"/>
      <c r="E350" s="3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42"/>
      <c r="E351" s="3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42"/>
      <c r="E352" s="3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42"/>
      <c r="E353" s="3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42"/>
      <c r="E354" s="3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42"/>
      <c r="E355" s="3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42"/>
      <c r="E356" s="3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42"/>
      <c r="E357" s="3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42"/>
      <c r="E358" s="3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42"/>
      <c r="E359" s="3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42"/>
      <c r="E360" s="3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42"/>
      <c r="E361" s="3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42"/>
      <c r="E362" s="3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42"/>
      <c r="E363" s="3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42"/>
      <c r="E364" s="3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42"/>
      <c r="E365" s="3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42"/>
      <c r="E366" s="3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42"/>
      <c r="E367" s="3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42"/>
      <c r="E368" s="3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42"/>
      <c r="E369" s="3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42"/>
      <c r="E370" s="3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42"/>
      <c r="E371" s="3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42"/>
      <c r="E372" s="3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42"/>
      <c r="E373" s="3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42"/>
      <c r="E374" s="3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42"/>
      <c r="E375" s="3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42"/>
      <c r="E376" s="3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42"/>
      <c r="E377" s="3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42"/>
      <c r="E378" s="3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42"/>
      <c r="E379" s="3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42"/>
      <c r="E380" s="3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42"/>
      <c r="E381" s="3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42"/>
      <c r="E382" s="3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42"/>
      <c r="E383" s="3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42"/>
      <c r="E384" s="3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42"/>
      <c r="E385" s="3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42"/>
      <c r="E386" s="3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42"/>
      <c r="E387" s="3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42"/>
      <c r="E388" s="3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42"/>
      <c r="E389" s="3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42"/>
      <c r="E390" s="3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42"/>
      <c r="E391" s="3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42"/>
      <c r="E392" s="3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42"/>
      <c r="E393" s="3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42"/>
      <c r="E394" s="3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42"/>
      <c r="E395" s="3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42"/>
      <c r="E396" s="3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42"/>
      <c r="E397" s="3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42"/>
      <c r="E398" s="3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42"/>
      <c r="E399" s="3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42"/>
      <c r="E400" s="3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42"/>
      <c r="E401" s="3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42"/>
      <c r="E402" s="3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42"/>
      <c r="E403" s="3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42"/>
      <c r="E404" s="3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42"/>
      <c r="E405" s="3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42"/>
      <c r="E406" s="3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42"/>
      <c r="E407" s="3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42"/>
      <c r="E408" s="3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42"/>
      <c r="E409" s="3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42"/>
      <c r="E410" s="3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42"/>
      <c r="E411" s="3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42"/>
      <c r="E412" s="3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42"/>
      <c r="E413" s="3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42"/>
      <c r="E414" s="3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42"/>
      <c r="E415" s="3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42"/>
      <c r="E416" s="3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42"/>
      <c r="E417" s="3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42"/>
      <c r="E418" s="3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42"/>
      <c r="E419" s="3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42"/>
      <c r="E420" s="3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42"/>
      <c r="E421" s="3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42"/>
      <c r="E422" s="3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42"/>
      <c r="E423" s="3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42"/>
      <c r="E424" s="3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42"/>
      <c r="E425" s="3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42"/>
      <c r="E426" s="3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42"/>
      <c r="E427" s="3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42"/>
      <c r="E428" s="3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42"/>
      <c r="E429" s="3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42"/>
      <c r="E430" s="3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42"/>
      <c r="E431" s="3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42"/>
      <c r="E432" s="3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42"/>
      <c r="E433" s="3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42"/>
      <c r="E434" s="3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42"/>
      <c r="E435" s="3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42"/>
      <c r="E436" s="3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42"/>
      <c r="E437" s="3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42"/>
      <c r="E438" s="3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42"/>
      <c r="E439" s="3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42"/>
      <c r="E440" s="3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42"/>
      <c r="E441" s="3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42"/>
      <c r="E442" s="3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42"/>
      <c r="E443" s="3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42"/>
      <c r="E444" s="3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42"/>
      <c r="E445" s="3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42"/>
      <c r="E446" s="3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42"/>
      <c r="E447" s="3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42"/>
      <c r="E448" s="3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42"/>
      <c r="E449" s="3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42"/>
      <c r="E450" s="3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42"/>
      <c r="E451" s="3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42"/>
      <c r="E452" s="3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42"/>
      <c r="E453" s="3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42"/>
      <c r="E454" s="3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42"/>
      <c r="E455" s="3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42"/>
      <c r="E456" s="3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42"/>
      <c r="E457" s="3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42"/>
      <c r="E458" s="3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42"/>
      <c r="E459" s="3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42"/>
      <c r="E460" s="3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42"/>
      <c r="E461" s="3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42"/>
      <c r="E462" s="3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42"/>
      <c r="E463" s="3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42"/>
      <c r="E464" s="3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42"/>
      <c r="E465" s="3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42"/>
      <c r="E466" s="3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42"/>
      <c r="E467" s="3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42"/>
      <c r="E468" s="3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42"/>
      <c r="E469" s="3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42"/>
      <c r="E470" s="3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42"/>
      <c r="E471" s="3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42"/>
      <c r="E472" s="3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42"/>
      <c r="E473" s="3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42"/>
      <c r="E474" s="3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42"/>
      <c r="E475" s="3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42"/>
      <c r="E476" s="3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42"/>
      <c r="E477" s="3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42"/>
      <c r="E478" s="3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42"/>
      <c r="E479" s="3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42"/>
      <c r="E480" s="3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42"/>
      <c r="E481" s="3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42"/>
      <c r="E482" s="3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42"/>
      <c r="E483" s="3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42"/>
      <c r="E484" s="3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42"/>
      <c r="E485" s="3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42"/>
      <c r="E486" s="3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42"/>
      <c r="E487" s="3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42"/>
      <c r="E488" s="3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42"/>
      <c r="E489" s="3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42"/>
      <c r="E490" s="3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42"/>
      <c r="E491" s="3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42"/>
      <c r="E492" s="3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42"/>
      <c r="E493" s="3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42"/>
      <c r="E494" s="3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42"/>
      <c r="E495" s="3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42"/>
      <c r="E496" s="3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42"/>
      <c r="E497" s="3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42"/>
      <c r="E498" s="3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42"/>
      <c r="E499" s="3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42"/>
      <c r="E500" s="3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42"/>
      <c r="E501" s="3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42"/>
      <c r="E502" s="3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42"/>
      <c r="E503" s="3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42"/>
      <c r="E504" s="3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42"/>
      <c r="E505" s="3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42"/>
      <c r="E506" s="3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42"/>
      <c r="E507" s="3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42"/>
      <c r="E508" s="3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42"/>
      <c r="E509" s="3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42"/>
      <c r="E510" s="3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42"/>
      <c r="E511" s="3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42"/>
      <c r="E512" s="3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42"/>
      <c r="E513" s="3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42"/>
      <c r="E514" s="3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42"/>
      <c r="E515" s="3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42"/>
      <c r="E516" s="3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42"/>
      <c r="E517" s="3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42"/>
      <c r="E518" s="3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42"/>
      <c r="E519" s="3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42"/>
      <c r="E520" s="3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42"/>
      <c r="E521" s="3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42"/>
      <c r="E522" s="3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42"/>
      <c r="E523" s="3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42"/>
      <c r="E524" s="3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42"/>
      <c r="E525" s="3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42"/>
      <c r="E526" s="3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42"/>
      <c r="E527" s="3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42"/>
      <c r="E528" s="3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42"/>
      <c r="E529" s="3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42"/>
      <c r="E530" s="3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42"/>
      <c r="E531" s="3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42"/>
      <c r="E532" s="3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42"/>
      <c r="E533" s="3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42"/>
      <c r="E534" s="3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42"/>
      <c r="E535" s="3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42"/>
      <c r="E536" s="3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42"/>
      <c r="E537" s="3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42"/>
      <c r="E538" s="3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42"/>
      <c r="E539" s="3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42"/>
      <c r="E540" s="3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42"/>
      <c r="E541" s="3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42"/>
      <c r="E542" s="3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42"/>
      <c r="E543" s="3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42"/>
      <c r="E544" s="3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42"/>
      <c r="E545" s="3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42"/>
      <c r="E546" s="3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42"/>
      <c r="E547" s="3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42"/>
      <c r="E548" s="3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42"/>
      <c r="E549" s="3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42"/>
      <c r="E550" s="3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42"/>
      <c r="E551" s="3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42"/>
      <c r="E552" s="3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42"/>
      <c r="E553" s="3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42"/>
      <c r="E554" s="3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42"/>
      <c r="E555" s="3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42"/>
      <c r="E556" s="3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42"/>
      <c r="E557" s="3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42"/>
      <c r="E558" s="3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42"/>
      <c r="E559" s="3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42"/>
      <c r="E560" s="3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42"/>
      <c r="E561" s="3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42"/>
      <c r="E562" s="3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42"/>
      <c r="E563" s="3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42"/>
      <c r="E564" s="3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42"/>
      <c r="E565" s="3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42"/>
      <c r="E566" s="3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42"/>
      <c r="E567" s="3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42"/>
      <c r="E568" s="3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42"/>
      <c r="E569" s="3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42"/>
      <c r="E570" s="3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42"/>
      <c r="E571" s="3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42"/>
      <c r="E572" s="3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42"/>
      <c r="E573" s="3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42"/>
      <c r="E574" s="3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42"/>
      <c r="E575" s="3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42"/>
      <c r="E576" s="3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42"/>
      <c r="E577" s="3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42"/>
      <c r="E578" s="3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42"/>
      <c r="E579" s="3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42"/>
      <c r="E580" s="3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42"/>
      <c r="E581" s="3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42"/>
      <c r="E582" s="3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42"/>
      <c r="E583" s="3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42"/>
      <c r="E584" s="3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42"/>
      <c r="E585" s="3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42"/>
      <c r="E586" s="3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42"/>
      <c r="E587" s="3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42"/>
      <c r="E588" s="3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42"/>
      <c r="E589" s="3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42"/>
      <c r="E590" s="3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42"/>
      <c r="E591" s="3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42"/>
      <c r="E592" s="3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42"/>
      <c r="E593" s="3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42"/>
      <c r="E594" s="3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42"/>
      <c r="E595" s="3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42"/>
      <c r="E596" s="3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42"/>
      <c r="E597" s="3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42"/>
      <c r="E598" s="3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42"/>
      <c r="E599" s="3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42"/>
      <c r="E600" s="3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42"/>
      <c r="E601" s="3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42"/>
      <c r="E602" s="3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42"/>
      <c r="E603" s="3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42"/>
      <c r="E604" s="3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42"/>
      <c r="E605" s="3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42"/>
      <c r="E606" s="3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42"/>
      <c r="E607" s="3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42"/>
      <c r="E608" s="3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42"/>
      <c r="E609" s="3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42"/>
      <c r="E610" s="3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42"/>
      <c r="E611" s="3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42"/>
      <c r="E612" s="3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42"/>
      <c r="E613" s="3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42"/>
      <c r="E614" s="3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42"/>
      <c r="E615" s="3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42"/>
      <c r="E616" s="3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42"/>
      <c r="E617" s="3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42"/>
      <c r="E618" s="3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42"/>
      <c r="E619" s="3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42"/>
      <c r="E620" s="3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42"/>
      <c r="E621" s="3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42"/>
      <c r="E622" s="3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42"/>
      <c r="E623" s="3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42"/>
      <c r="E624" s="3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42"/>
      <c r="E625" s="3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42"/>
      <c r="E626" s="3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42"/>
      <c r="E627" s="3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42"/>
      <c r="E628" s="3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42"/>
      <c r="E629" s="3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42"/>
      <c r="E630" s="3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42"/>
      <c r="E631" s="3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42"/>
      <c r="E632" s="3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42"/>
      <c r="E633" s="3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42"/>
      <c r="E634" s="3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42"/>
      <c r="E635" s="3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42"/>
      <c r="E636" s="3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42"/>
      <c r="E637" s="3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42"/>
      <c r="E638" s="3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42"/>
      <c r="E639" s="3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42"/>
      <c r="E640" s="3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42"/>
      <c r="E641" s="3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42"/>
      <c r="E642" s="3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42"/>
      <c r="E643" s="3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42"/>
      <c r="E644" s="3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42"/>
      <c r="E645" s="3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42"/>
      <c r="E646" s="3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42"/>
      <c r="E647" s="3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42"/>
      <c r="E648" s="3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42"/>
      <c r="E649" s="3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42"/>
      <c r="E650" s="3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42"/>
      <c r="E651" s="3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42"/>
      <c r="E652" s="3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4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4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4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4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4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4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4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4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4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4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4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4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4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4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4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4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4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4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4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4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4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4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4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4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4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4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4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4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4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4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4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4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4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4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4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4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4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4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4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4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4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4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4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4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4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4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4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4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4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4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4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4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4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4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4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4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4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4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4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4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4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4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4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4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4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4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4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4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4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4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4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4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4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4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4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4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4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4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4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4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4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4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4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4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4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4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4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4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4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4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4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4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4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4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4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4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4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4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4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4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4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4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4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4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4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4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4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4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4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4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4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4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4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4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4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4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4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4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4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4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4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4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4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4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4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4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4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4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4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4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4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4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4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4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4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4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4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4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4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4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4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4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4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4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4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4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4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4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4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4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4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4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4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4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4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4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4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4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4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4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4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4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4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4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4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4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4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4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4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4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4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4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4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4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4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4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4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4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4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4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</row>
    <row r="925">
      <c r="D925" s="43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  <row r="945">
      <c r="D945" s="43"/>
    </row>
    <row r="946">
      <c r="D946" s="43"/>
    </row>
    <row r="947">
      <c r="D947" s="43"/>
    </row>
    <row r="948">
      <c r="D948" s="43"/>
    </row>
    <row r="949">
      <c r="D949" s="43"/>
    </row>
    <row r="950">
      <c r="D950" s="43"/>
    </row>
    <row r="951">
      <c r="D951" s="43"/>
    </row>
    <row r="952">
      <c r="D952" s="43"/>
    </row>
    <row r="953">
      <c r="D953" s="43"/>
    </row>
    <row r="954">
      <c r="D954" s="43"/>
    </row>
    <row r="955">
      <c r="D955" s="43"/>
    </row>
    <row r="956">
      <c r="D956" s="43"/>
    </row>
    <row r="957">
      <c r="D957" s="43"/>
    </row>
    <row r="958">
      <c r="D958" s="43"/>
    </row>
    <row r="959">
      <c r="D959" s="43"/>
    </row>
    <row r="960">
      <c r="D960" s="43"/>
    </row>
    <row r="961">
      <c r="D961" s="43"/>
    </row>
    <row r="962">
      <c r="D962" s="43"/>
    </row>
    <row r="963">
      <c r="D963" s="43"/>
    </row>
    <row r="964">
      <c r="D964" s="43"/>
    </row>
    <row r="965">
      <c r="D965" s="43"/>
    </row>
    <row r="966">
      <c r="D966" s="43"/>
    </row>
    <row r="967">
      <c r="D967" s="43"/>
    </row>
    <row r="968">
      <c r="D968" s="43"/>
    </row>
    <row r="969">
      <c r="D969" s="43"/>
    </row>
    <row r="970">
      <c r="D970" s="43"/>
    </row>
    <row r="971">
      <c r="D971" s="43"/>
    </row>
    <row r="972">
      <c r="D972" s="43"/>
    </row>
    <row r="973">
      <c r="D973" s="43"/>
    </row>
    <row r="974">
      <c r="D974" s="43"/>
    </row>
    <row r="975">
      <c r="D975" s="43"/>
    </row>
    <row r="976">
      <c r="D976" s="43"/>
    </row>
    <row r="977">
      <c r="D977" s="43"/>
    </row>
    <row r="978">
      <c r="D978" s="43"/>
    </row>
    <row r="979">
      <c r="D979" s="43"/>
    </row>
    <row r="980">
      <c r="D980" s="43"/>
    </row>
    <row r="981">
      <c r="D981" s="43"/>
    </row>
    <row r="982">
      <c r="D982" s="43"/>
    </row>
    <row r="983">
      <c r="D983" s="43"/>
    </row>
    <row r="984">
      <c r="D984" s="43"/>
    </row>
    <row r="985">
      <c r="D985" s="43"/>
    </row>
    <row r="986">
      <c r="D986" s="43"/>
    </row>
    <row r="987">
      <c r="D987" s="43"/>
    </row>
    <row r="988">
      <c r="D988" s="43"/>
    </row>
    <row r="989">
      <c r="D989" s="43"/>
    </row>
    <row r="990">
      <c r="D990" s="43"/>
    </row>
    <row r="991">
      <c r="D991" s="43"/>
    </row>
    <row r="992">
      <c r="D992" s="43"/>
    </row>
    <row r="993">
      <c r="D993" s="43"/>
    </row>
    <row r="994">
      <c r="D994" s="43"/>
    </row>
    <row r="995">
      <c r="D995" s="43"/>
    </row>
    <row r="996">
      <c r="D996" s="43"/>
    </row>
    <row r="997">
      <c r="D997" s="43"/>
    </row>
    <row r="998">
      <c r="D998" s="43"/>
    </row>
    <row r="999">
      <c r="D999" s="43"/>
    </row>
    <row r="1000">
      <c r="D1000" s="43"/>
    </row>
    <row r="1001">
      <c r="D1001" s="43"/>
    </row>
  </sheetData>
  <dataValidations>
    <dataValidation type="list" allowBlank="1" showErrorMessage="1" sqref="D4:D104">
      <formula1>"Facebook,Tiktok"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5"/>
    <col customWidth="1" min="3" max="3" width="19.25"/>
    <col customWidth="1" min="4" max="4" width="16.88"/>
    <col customWidth="1" min="6" max="6" width="16.5"/>
    <col customWidth="1" min="7" max="7" width="15.25"/>
    <col customWidth="1" min="8" max="8" width="16.13"/>
    <col customWidth="1" min="9" max="9" width="14.13"/>
  </cols>
  <sheetData>
    <row r="1">
      <c r="A1" s="13" t="s">
        <v>29</v>
      </c>
      <c r="B1" s="44">
        <f>SUM(H5:H40)</f>
        <v>0</v>
      </c>
      <c r="C1" s="13" t="s">
        <v>30</v>
      </c>
      <c r="D1" s="45">
        <f>B2-B1</f>
        <v>5.15</v>
      </c>
      <c r="E1" s="3"/>
      <c r="F1" s="13" t="s">
        <v>31</v>
      </c>
      <c r="G1" s="13" t="s">
        <v>32</v>
      </c>
      <c r="H1" s="13" t="s">
        <v>33</v>
      </c>
      <c r="I1" s="13" t="s">
        <v>34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3" t="s">
        <v>35</v>
      </c>
      <c r="B2" s="46">
        <f>SUM(PNL!E4:E1000)</f>
        <v>5.15</v>
      </c>
      <c r="C2" s="13" t="s">
        <v>36</v>
      </c>
      <c r="D2" s="47">
        <f>SUMIF(I5:I1000, "&lt;&gt;Completed", G5:G1000)</f>
        <v>0</v>
      </c>
      <c r="E2" s="3"/>
      <c r="F2" s="48">
        <f>SUMIF(B5:B1000, "TikTok", H5:H1000)</f>
        <v>0</v>
      </c>
      <c r="G2" s="48">
        <f>SUMIF(B5:B1000, "Facebook", H5:H1000)</f>
        <v>0</v>
      </c>
      <c r="H2" s="48">
        <f>SUMIF(B5:B1000, "TikTok", K5:K1000)</f>
        <v>0</v>
      </c>
      <c r="I2" s="48">
        <f>SUMIF(B5:B1000, "Facebook", K5:K1000)</f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3" t="s">
        <v>37</v>
      </c>
      <c r="B3" s="49">
        <f>TODAY()</f>
        <v>46089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2" t="s">
        <v>38</v>
      </c>
      <c r="B4" s="50" t="s">
        <v>8</v>
      </c>
      <c r="C4" s="13" t="s">
        <v>39</v>
      </c>
      <c r="D4" s="51" t="s">
        <v>40</v>
      </c>
      <c r="E4" s="12" t="s">
        <v>41</v>
      </c>
      <c r="F4" s="12" t="s">
        <v>42</v>
      </c>
      <c r="G4" s="12" t="s">
        <v>36</v>
      </c>
      <c r="H4" s="13" t="s">
        <v>43</v>
      </c>
      <c r="I4" s="50" t="s">
        <v>44</v>
      </c>
      <c r="J4" s="12" t="s">
        <v>45</v>
      </c>
      <c r="K4" s="12" t="s">
        <v>46</v>
      </c>
      <c r="L4" s="50" t="s">
        <v>47</v>
      </c>
      <c r="M4" s="50" t="s">
        <v>0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52"/>
      <c r="B5" s="3"/>
      <c r="C5" s="3"/>
      <c r="D5" s="3"/>
      <c r="E5" s="53"/>
      <c r="F5" s="54"/>
      <c r="G5" s="21">
        <f t="shared" ref="G5:G40" si="1">IFERROR(H5/F5, 0)</f>
        <v>0</v>
      </c>
      <c r="H5" s="22">
        <f>IF(ISBLANK(B5) ,0,IF(B5="Tiktok",E5*'Client Details'!$F$1,E5*'Client Details'!$D$1))</f>
        <v>0</v>
      </c>
      <c r="I5" s="3" t="str">
        <f t="shared" ref="I5:I33" si="2">IF(M5&lt;0, "COMPLETED", "")</f>
        <v/>
      </c>
      <c r="J5" s="3"/>
      <c r="K5" s="22">
        <f t="shared" ref="K5:K40" si="3">IF(M5&gt;0, G5*M5, 0)</f>
        <v>0</v>
      </c>
      <c r="L5" s="55">
        <f t="shared" ref="L5:L40" si="4">IF(A5="", 0, A5+F5)</f>
        <v>0</v>
      </c>
      <c r="M5" s="54">
        <f t="shared" ref="M5:M40" si="5">IF(OR(L5="", L5=0), 0, L5-$B$3)</f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2"/>
      <c r="B6" s="3"/>
      <c r="C6" s="3"/>
      <c r="D6" s="3"/>
      <c r="E6" s="53"/>
      <c r="F6" s="54"/>
      <c r="G6" s="21">
        <f t="shared" si="1"/>
        <v>0</v>
      </c>
      <c r="H6" s="22">
        <f>IF(ISBLANK(B6) ,0,IF(B6="Tiktok",E6*'Client Details'!$F$1,E6*'Client Details'!$D$1))</f>
        <v>0</v>
      </c>
      <c r="I6" s="3" t="str">
        <f t="shared" si="2"/>
        <v/>
      </c>
      <c r="J6" s="3"/>
      <c r="K6" s="22">
        <f t="shared" si="3"/>
        <v>0</v>
      </c>
      <c r="L6" s="55">
        <f t="shared" si="4"/>
        <v>0</v>
      </c>
      <c r="M6" s="54">
        <f t="shared" si="5"/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52"/>
      <c r="B7" s="3"/>
      <c r="C7" s="3"/>
      <c r="D7" s="3"/>
      <c r="E7" s="53"/>
      <c r="F7" s="54"/>
      <c r="G7" s="21">
        <f t="shared" si="1"/>
        <v>0</v>
      </c>
      <c r="H7" s="22">
        <f>IF(ISBLANK(B7) ,0,IF(B7="Tiktok",E7*'Client Details'!$F$1,E7*'Client Details'!$D$1))</f>
        <v>0</v>
      </c>
      <c r="I7" s="3" t="str">
        <f t="shared" si="2"/>
        <v/>
      </c>
      <c r="J7" s="3"/>
      <c r="K7" s="22">
        <f t="shared" si="3"/>
        <v>0</v>
      </c>
      <c r="L7" s="55">
        <f t="shared" si="4"/>
        <v>0</v>
      </c>
      <c r="M7" s="54">
        <f t="shared" si="5"/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"/>
      <c r="B8" s="3"/>
      <c r="C8" s="3"/>
      <c r="D8" s="3"/>
      <c r="E8" s="24"/>
      <c r="F8" s="3"/>
      <c r="G8" s="21">
        <f t="shared" si="1"/>
        <v>0</v>
      </c>
      <c r="H8" s="22">
        <f>IF(ISBLANK(B8) ,0,IF(B8="Tiktok",E8*'Client Details'!$F$1,E8*'Client Details'!$D$1))</f>
        <v>0</v>
      </c>
      <c r="I8" s="3" t="str">
        <f t="shared" si="2"/>
        <v/>
      </c>
      <c r="J8" s="3"/>
      <c r="K8" s="22">
        <f t="shared" si="3"/>
        <v>0</v>
      </c>
      <c r="L8" s="54">
        <f t="shared" si="4"/>
        <v>0</v>
      </c>
      <c r="M8" s="54">
        <f t="shared" si="5"/>
        <v>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"/>
      <c r="B9" s="3"/>
      <c r="C9" s="3"/>
      <c r="D9" s="3"/>
      <c r="E9" s="24"/>
      <c r="F9" s="3"/>
      <c r="G9" s="21">
        <f t="shared" si="1"/>
        <v>0</v>
      </c>
      <c r="H9" s="22">
        <f>IF(ISBLANK(B9) ,0,IF(B9="Tiktok",E9*'Client Details'!$F$1,E9*'Client Details'!$D$1))</f>
        <v>0</v>
      </c>
      <c r="I9" s="3" t="str">
        <f t="shared" si="2"/>
        <v/>
      </c>
      <c r="J9" s="3"/>
      <c r="K9" s="22">
        <f t="shared" si="3"/>
        <v>0</v>
      </c>
      <c r="L9" s="54">
        <f t="shared" si="4"/>
        <v>0</v>
      </c>
      <c r="M9" s="54">
        <f t="shared" si="5"/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"/>
      <c r="B10" s="3"/>
      <c r="C10" s="3"/>
      <c r="D10" s="3"/>
      <c r="E10" s="24"/>
      <c r="F10" s="3"/>
      <c r="G10" s="21">
        <f t="shared" si="1"/>
        <v>0</v>
      </c>
      <c r="H10" s="22">
        <f>IF(ISBLANK(B10) ,0,IF(B10="Tiktok",E10*'Client Details'!$F$1,E10*'Client Details'!$D$1))</f>
        <v>0</v>
      </c>
      <c r="I10" s="3" t="str">
        <f t="shared" si="2"/>
        <v/>
      </c>
      <c r="J10" s="3"/>
      <c r="K10" s="22">
        <f t="shared" si="3"/>
        <v>0</v>
      </c>
      <c r="L10" s="54">
        <f t="shared" si="4"/>
        <v>0</v>
      </c>
      <c r="M10" s="54">
        <f t="shared" si="5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"/>
      <c r="B11" s="3"/>
      <c r="C11" s="3"/>
      <c r="D11" s="3"/>
      <c r="E11" s="24"/>
      <c r="F11" s="3"/>
      <c r="G11" s="21">
        <f t="shared" si="1"/>
        <v>0</v>
      </c>
      <c r="H11" s="22">
        <f>IF(ISBLANK(B11) ,0,IF(B11="Tiktok",E11*'Client Details'!$F$1,E11*'Client Details'!$D$1))</f>
        <v>0</v>
      </c>
      <c r="I11" s="3" t="str">
        <f t="shared" si="2"/>
        <v/>
      </c>
      <c r="J11" s="3"/>
      <c r="K11" s="22">
        <f t="shared" si="3"/>
        <v>0</v>
      </c>
      <c r="L11" s="54">
        <f t="shared" si="4"/>
        <v>0</v>
      </c>
      <c r="M11" s="54">
        <f t="shared" si="5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"/>
      <c r="B12" s="3"/>
      <c r="C12" s="3"/>
      <c r="D12" s="3"/>
      <c r="E12" s="24"/>
      <c r="F12" s="3"/>
      <c r="G12" s="21">
        <f t="shared" si="1"/>
        <v>0</v>
      </c>
      <c r="H12" s="22">
        <f>IF(ISBLANK(B12) ,0,IF(B12="Tiktok",E12*'Client Details'!$F$1,E12*'Client Details'!$D$1))</f>
        <v>0</v>
      </c>
      <c r="I12" s="3" t="str">
        <f t="shared" si="2"/>
        <v/>
      </c>
      <c r="J12" s="3"/>
      <c r="K12" s="22">
        <f t="shared" si="3"/>
        <v>0</v>
      </c>
      <c r="L12" s="54">
        <f t="shared" si="4"/>
        <v>0</v>
      </c>
      <c r="M12" s="54">
        <f t="shared" si="5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"/>
      <c r="B13" s="3"/>
      <c r="C13" s="3"/>
      <c r="D13" s="3"/>
      <c r="E13" s="24"/>
      <c r="F13" s="3"/>
      <c r="G13" s="21">
        <f t="shared" si="1"/>
        <v>0</v>
      </c>
      <c r="H13" s="22">
        <f>IF(ISBLANK(B13) ,0,IF(B13="Tiktok",E13*'Client Details'!$F$1,E13*'Client Details'!$D$1))</f>
        <v>0</v>
      </c>
      <c r="I13" s="3" t="str">
        <f t="shared" si="2"/>
        <v/>
      </c>
      <c r="J13" s="3"/>
      <c r="K13" s="22">
        <f t="shared" si="3"/>
        <v>0</v>
      </c>
      <c r="L13" s="54">
        <f t="shared" si="4"/>
        <v>0</v>
      </c>
      <c r="M13" s="54">
        <f t="shared" si="5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"/>
      <c r="B14" s="3"/>
      <c r="C14" s="3"/>
      <c r="D14" s="3"/>
      <c r="E14" s="24"/>
      <c r="F14" s="3"/>
      <c r="G14" s="21">
        <f t="shared" si="1"/>
        <v>0</v>
      </c>
      <c r="H14" s="22">
        <f>IF(ISBLANK(B14) ,0,IF(B14="Tiktok",E14*'Client Details'!$F$1,E14*'Client Details'!$D$1))</f>
        <v>0</v>
      </c>
      <c r="I14" s="3" t="str">
        <f t="shared" si="2"/>
        <v/>
      </c>
      <c r="J14" s="3"/>
      <c r="K14" s="22">
        <f t="shared" si="3"/>
        <v>0</v>
      </c>
      <c r="L14" s="54">
        <f t="shared" si="4"/>
        <v>0</v>
      </c>
      <c r="M14" s="54">
        <f t="shared" si="5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"/>
      <c r="B15" s="3"/>
      <c r="C15" s="3"/>
      <c r="D15" s="3"/>
      <c r="E15" s="24"/>
      <c r="F15" s="3"/>
      <c r="G15" s="21">
        <f t="shared" si="1"/>
        <v>0</v>
      </c>
      <c r="H15" s="22">
        <f>IF(ISBLANK(B15) ,0,IF(B15="Tiktok",E15*'Client Details'!$F$1,E15*'Client Details'!$D$1))</f>
        <v>0</v>
      </c>
      <c r="I15" s="3" t="str">
        <f t="shared" si="2"/>
        <v/>
      </c>
      <c r="J15" s="3"/>
      <c r="K15" s="22">
        <f t="shared" si="3"/>
        <v>0</v>
      </c>
      <c r="L15" s="54">
        <f t="shared" si="4"/>
        <v>0</v>
      </c>
      <c r="M15" s="54">
        <f t="shared" si="5"/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"/>
      <c r="B16" s="3"/>
      <c r="C16" s="3"/>
      <c r="D16" s="3"/>
      <c r="E16" s="24"/>
      <c r="F16" s="3"/>
      <c r="G16" s="21">
        <f t="shared" si="1"/>
        <v>0</v>
      </c>
      <c r="H16" s="22">
        <f>IF(ISBLANK(B16) ,0,IF(B16="Tiktok",E16*'Client Details'!$F$1,E16*'Client Details'!$D$1))</f>
        <v>0</v>
      </c>
      <c r="I16" s="3" t="str">
        <f t="shared" si="2"/>
        <v/>
      </c>
      <c r="J16" s="3"/>
      <c r="K16" s="22">
        <f t="shared" si="3"/>
        <v>0</v>
      </c>
      <c r="L16" s="54">
        <f t="shared" si="4"/>
        <v>0</v>
      </c>
      <c r="M16" s="54">
        <f t="shared" si="5"/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"/>
      <c r="B17" s="3"/>
      <c r="C17" s="3"/>
      <c r="D17" s="3"/>
      <c r="E17" s="24"/>
      <c r="F17" s="3"/>
      <c r="G17" s="21">
        <f t="shared" si="1"/>
        <v>0</v>
      </c>
      <c r="H17" s="22">
        <f>IF(ISBLANK(B17) ,0,IF(B17="Tiktok",E17*'Client Details'!$F$1,E17*'Client Details'!$D$1))</f>
        <v>0</v>
      </c>
      <c r="I17" s="3" t="str">
        <f t="shared" si="2"/>
        <v/>
      </c>
      <c r="J17" s="3"/>
      <c r="K17" s="22">
        <f t="shared" si="3"/>
        <v>0</v>
      </c>
      <c r="L17" s="54">
        <f t="shared" si="4"/>
        <v>0</v>
      </c>
      <c r="M17" s="54">
        <f t="shared" si="5"/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"/>
      <c r="B18" s="3"/>
      <c r="C18" s="3"/>
      <c r="D18" s="3"/>
      <c r="E18" s="24"/>
      <c r="F18" s="3"/>
      <c r="G18" s="21">
        <f t="shared" si="1"/>
        <v>0</v>
      </c>
      <c r="H18" s="22">
        <f>IF(ISBLANK(B18) ,0,IF(B18="Tiktok",E18*'Client Details'!$F$1,E18*'Client Details'!$D$1))</f>
        <v>0</v>
      </c>
      <c r="I18" s="3" t="str">
        <f t="shared" si="2"/>
        <v/>
      </c>
      <c r="J18" s="3"/>
      <c r="K18" s="22">
        <f t="shared" si="3"/>
        <v>0</v>
      </c>
      <c r="L18" s="54">
        <f t="shared" si="4"/>
        <v>0</v>
      </c>
      <c r="M18" s="54">
        <f t="shared" si="5"/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24"/>
      <c r="F19" s="3"/>
      <c r="G19" s="21">
        <f t="shared" si="1"/>
        <v>0</v>
      </c>
      <c r="H19" s="22">
        <f>IF(ISBLANK(B19) ,0,IF(B19="Tiktok",E19*'Client Details'!$F$1,E19*'Client Details'!$D$1))</f>
        <v>0</v>
      </c>
      <c r="I19" s="3" t="str">
        <f t="shared" si="2"/>
        <v/>
      </c>
      <c r="J19" s="3"/>
      <c r="K19" s="22">
        <f t="shared" si="3"/>
        <v>0</v>
      </c>
      <c r="L19" s="54">
        <f t="shared" si="4"/>
        <v>0</v>
      </c>
      <c r="M19" s="54">
        <f t="shared" si="5"/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24"/>
      <c r="F20" s="3"/>
      <c r="G20" s="21">
        <f t="shared" si="1"/>
        <v>0</v>
      </c>
      <c r="H20" s="22">
        <f>IF(ISBLANK(B20) ,0,IF(B20="Tiktok",E20*'Client Details'!$F$1,E20*'Client Details'!$D$1))</f>
        <v>0</v>
      </c>
      <c r="I20" s="3" t="str">
        <f t="shared" si="2"/>
        <v/>
      </c>
      <c r="J20" s="3"/>
      <c r="K20" s="22">
        <f t="shared" si="3"/>
        <v>0</v>
      </c>
      <c r="L20" s="54">
        <f t="shared" si="4"/>
        <v>0</v>
      </c>
      <c r="M20" s="54">
        <f t="shared" si="5"/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24"/>
      <c r="F21" s="3"/>
      <c r="G21" s="21">
        <f t="shared" si="1"/>
        <v>0</v>
      </c>
      <c r="H21" s="22">
        <f>IF(ISBLANK(B21) ,0,IF(B21="Tiktok",E21*'Client Details'!$F$1,E21*'Client Details'!$D$1))</f>
        <v>0</v>
      </c>
      <c r="I21" s="3" t="str">
        <f t="shared" si="2"/>
        <v/>
      </c>
      <c r="J21" s="3"/>
      <c r="K21" s="22">
        <f t="shared" si="3"/>
        <v>0</v>
      </c>
      <c r="L21" s="54">
        <f t="shared" si="4"/>
        <v>0</v>
      </c>
      <c r="M21" s="54">
        <f t="shared" si="5"/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24"/>
      <c r="F22" s="3"/>
      <c r="G22" s="21">
        <f t="shared" si="1"/>
        <v>0</v>
      </c>
      <c r="H22" s="22">
        <f>IF(ISBLANK(B22) ,0,IF(B22="Tiktok",E22*'Client Details'!$F$1,E22*'Client Details'!$D$1))</f>
        <v>0</v>
      </c>
      <c r="I22" s="3" t="str">
        <f t="shared" si="2"/>
        <v/>
      </c>
      <c r="J22" s="3"/>
      <c r="K22" s="22">
        <f t="shared" si="3"/>
        <v>0</v>
      </c>
      <c r="L22" s="54">
        <f t="shared" si="4"/>
        <v>0</v>
      </c>
      <c r="M22" s="54">
        <f t="shared" si="5"/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24"/>
      <c r="F23" s="3"/>
      <c r="G23" s="21">
        <f t="shared" si="1"/>
        <v>0</v>
      </c>
      <c r="H23" s="22">
        <f>IF(ISBLANK(B23) ,0,IF(B23="Tiktok",E23*'Client Details'!$F$1,E23*'Client Details'!$D$1))</f>
        <v>0</v>
      </c>
      <c r="I23" s="3" t="str">
        <f t="shared" si="2"/>
        <v/>
      </c>
      <c r="J23" s="3"/>
      <c r="K23" s="22">
        <f t="shared" si="3"/>
        <v>0</v>
      </c>
      <c r="L23" s="54">
        <f t="shared" si="4"/>
        <v>0</v>
      </c>
      <c r="M23" s="54">
        <f t="shared" si="5"/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24"/>
      <c r="F24" s="3"/>
      <c r="G24" s="21">
        <f t="shared" si="1"/>
        <v>0</v>
      </c>
      <c r="H24" s="22">
        <f>IF(ISBLANK(B24) ,0,IF(B24="Tiktok",E24*'Client Details'!$F$1,E24*'Client Details'!$D$1))</f>
        <v>0</v>
      </c>
      <c r="I24" s="3" t="str">
        <f t="shared" si="2"/>
        <v/>
      </c>
      <c r="J24" s="3"/>
      <c r="K24" s="22">
        <f t="shared" si="3"/>
        <v>0</v>
      </c>
      <c r="L24" s="54">
        <f t="shared" si="4"/>
        <v>0</v>
      </c>
      <c r="M24" s="54">
        <f t="shared" si="5"/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24"/>
      <c r="F25" s="3"/>
      <c r="G25" s="21">
        <f t="shared" si="1"/>
        <v>0</v>
      </c>
      <c r="H25" s="22">
        <f>IF(ISBLANK(B25) ,0,IF(B25="Tiktok",E25*'Client Details'!$F$1,E25*'Client Details'!$D$1))</f>
        <v>0</v>
      </c>
      <c r="I25" s="3" t="str">
        <f t="shared" si="2"/>
        <v/>
      </c>
      <c r="J25" s="3"/>
      <c r="K25" s="22">
        <f t="shared" si="3"/>
        <v>0</v>
      </c>
      <c r="L25" s="54">
        <f t="shared" si="4"/>
        <v>0</v>
      </c>
      <c r="M25" s="54">
        <f t="shared" si="5"/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24"/>
      <c r="F26" s="3"/>
      <c r="G26" s="21">
        <f t="shared" si="1"/>
        <v>0</v>
      </c>
      <c r="H26" s="22">
        <f>IF(ISBLANK(B26) ,0,IF(B26="Tiktok",E26*'Client Details'!$F$1,E26*'Client Details'!$D$1))</f>
        <v>0</v>
      </c>
      <c r="I26" s="3" t="str">
        <f t="shared" si="2"/>
        <v/>
      </c>
      <c r="J26" s="3"/>
      <c r="K26" s="22">
        <f t="shared" si="3"/>
        <v>0</v>
      </c>
      <c r="L26" s="54">
        <f t="shared" si="4"/>
        <v>0</v>
      </c>
      <c r="M26" s="54">
        <f t="shared" si="5"/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24"/>
      <c r="F27" s="3"/>
      <c r="G27" s="21">
        <f t="shared" si="1"/>
        <v>0</v>
      </c>
      <c r="H27" s="22">
        <f>IF(ISBLANK(B27) ,0,IF(B27="Tiktok",E27*'Client Details'!$F$1,E27*'Client Details'!$D$1))</f>
        <v>0</v>
      </c>
      <c r="I27" s="3" t="str">
        <f t="shared" si="2"/>
        <v/>
      </c>
      <c r="J27" s="3"/>
      <c r="K27" s="22">
        <f t="shared" si="3"/>
        <v>0</v>
      </c>
      <c r="L27" s="54">
        <f t="shared" si="4"/>
        <v>0</v>
      </c>
      <c r="M27" s="54">
        <f t="shared" si="5"/>
        <v>0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24"/>
      <c r="F28" s="3"/>
      <c r="G28" s="21">
        <f t="shared" si="1"/>
        <v>0</v>
      </c>
      <c r="H28" s="22">
        <f>IF(ISBLANK(B28) ,0,IF(B28="Tiktok",E28*'Client Details'!$F$1,E28*'Client Details'!$D$1))</f>
        <v>0</v>
      </c>
      <c r="I28" s="3" t="str">
        <f t="shared" si="2"/>
        <v/>
      </c>
      <c r="J28" s="3"/>
      <c r="K28" s="22">
        <f t="shared" si="3"/>
        <v>0</v>
      </c>
      <c r="L28" s="54">
        <f t="shared" si="4"/>
        <v>0</v>
      </c>
      <c r="M28" s="54">
        <f t="shared" si="5"/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24"/>
      <c r="F29" s="3"/>
      <c r="G29" s="21">
        <f t="shared" si="1"/>
        <v>0</v>
      </c>
      <c r="H29" s="22">
        <f>IF(ISBLANK(B29) ,0,IF(B29="Tiktok",E29*'Client Details'!$F$1,E29*'Client Details'!$D$1))</f>
        <v>0</v>
      </c>
      <c r="I29" s="3" t="str">
        <f t="shared" si="2"/>
        <v/>
      </c>
      <c r="J29" s="3"/>
      <c r="K29" s="22">
        <f t="shared" si="3"/>
        <v>0</v>
      </c>
      <c r="L29" s="54">
        <f t="shared" si="4"/>
        <v>0</v>
      </c>
      <c r="M29" s="54">
        <f t="shared" si="5"/>
        <v>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24"/>
      <c r="F30" s="3"/>
      <c r="G30" s="21">
        <f t="shared" si="1"/>
        <v>0</v>
      </c>
      <c r="H30" s="22">
        <f>IF(ISBLANK(B30) ,0,IF(B30="Tiktok",E30*'Client Details'!$F$1,E30*'Client Details'!$D$1))</f>
        <v>0</v>
      </c>
      <c r="I30" s="3" t="str">
        <f t="shared" si="2"/>
        <v/>
      </c>
      <c r="J30" s="3"/>
      <c r="K30" s="22">
        <f t="shared" si="3"/>
        <v>0</v>
      </c>
      <c r="L30" s="54">
        <f t="shared" si="4"/>
        <v>0</v>
      </c>
      <c r="M30" s="54">
        <f t="shared" si="5"/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24"/>
      <c r="F31" s="3"/>
      <c r="G31" s="21">
        <f t="shared" si="1"/>
        <v>0</v>
      </c>
      <c r="H31" s="22">
        <f>IF(ISBLANK(B31) ,0,IF(B31="Tiktok",E31*'Client Details'!$F$1,E31*'Client Details'!$D$1))</f>
        <v>0</v>
      </c>
      <c r="I31" s="3" t="str">
        <f t="shared" si="2"/>
        <v/>
      </c>
      <c r="J31" s="3"/>
      <c r="K31" s="22">
        <f t="shared" si="3"/>
        <v>0</v>
      </c>
      <c r="L31" s="54">
        <f t="shared" si="4"/>
        <v>0</v>
      </c>
      <c r="M31" s="54">
        <f t="shared" si="5"/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24"/>
      <c r="F32" s="3"/>
      <c r="G32" s="21">
        <f t="shared" si="1"/>
        <v>0</v>
      </c>
      <c r="H32" s="22">
        <f>IF(ISBLANK(B32) ,0,IF(B32="Tiktok",E32*'Client Details'!$F$1,E32*'Client Details'!$D$1))</f>
        <v>0</v>
      </c>
      <c r="I32" s="3" t="str">
        <f t="shared" si="2"/>
        <v/>
      </c>
      <c r="J32" s="3"/>
      <c r="K32" s="22">
        <f t="shared" si="3"/>
        <v>0</v>
      </c>
      <c r="L32" s="54">
        <f t="shared" si="4"/>
        <v>0</v>
      </c>
      <c r="M32" s="54">
        <f t="shared" si="5"/>
        <v>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24"/>
      <c r="F33" s="3"/>
      <c r="G33" s="21">
        <f t="shared" si="1"/>
        <v>0</v>
      </c>
      <c r="H33" s="22">
        <f>IF(ISBLANK(B33) ,0,IF(B33="Tiktok",E33*'Client Details'!$F$1,E33*'Client Details'!$D$1))</f>
        <v>0</v>
      </c>
      <c r="I33" s="3" t="str">
        <f t="shared" si="2"/>
        <v/>
      </c>
      <c r="J33" s="3"/>
      <c r="K33" s="22">
        <f t="shared" si="3"/>
        <v>0</v>
      </c>
      <c r="L33" s="54">
        <f t="shared" si="4"/>
        <v>0</v>
      </c>
      <c r="M33" s="54">
        <f t="shared" si="5"/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24"/>
      <c r="F34" s="3"/>
      <c r="G34" s="21">
        <f t="shared" si="1"/>
        <v>0</v>
      </c>
      <c r="H34" s="22">
        <f>IF(ISBLANK(B34) ,0,IF(B34="Tiktok",E34*'Client Details'!$F$1,E34*'Client Details'!$D$1))</f>
        <v>0</v>
      </c>
      <c r="I34" s="3"/>
      <c r="J34" s="3"/>
      <c r="K34" s="22">
        <f t="shared" si="3"/>
        <v>0</v>
      </c>
      <c r="L34" s="54">
        <f t="shared" si="4"/>
        <v>0</v>
      </c>
      <c r="M34" s="54">
        <f t="shared" si="5"/>
        <v>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24"/>
      <c r="F35" s="3"/>
      <c r="G35" s="21">
        <f t="shared" si="1"/>
        <v>0</v>
      </c>
      <c r="H35" s="22">
        <f>IF(ISBLANK(B35) ,0,IF(B35="Tiktok",E35*'Client Details'!$F$1,E35*'Client Details'!$D$1))</f>
        <v>0</v>
      </c>
      <c r="I35" s="3"/>
      <c r="J35" s="3"/>
      <c r="K35" s="22">
        <f t="shared" si="3"/>
        <v>0</v>
      </c>
      <c r="L35" s="54">
        <f t="shared" si="4"/>
        <v>0</v>
      </c>
      <c r="M35" s="54">
        <f t="shared" si="5"/>
        <v>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24"/>
      <c r="F36" s="3"/>
      <c r="G36" s="21">
        <f t="shared" si="1"/>
        <v>0</v>
      </c>
      <c r="H36" s="22">
        <f>IF(ISBLANK(B36) ,0,IF(B36="Tiktok",E36*'Client Details'!$F$1,E36*'Client Details'!$D$1))</f>
        <v>0</v>
      </c>
      <c r="I36" s="3"/>
      <c r="J36" s="3"/>
      <c r="K36" s="22">
        <f t="shared" si="3"/>
        <v>0</v>
      </c>
      <c r="L36" s="54">
        <f t="shared" si="4"/>
        <v>0</v>
      </c>
      <c r="M36" s="54">
        <f t="shared" si="5"/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24"/>
      <c r="F37" s="3"/>
      <c r="G37" s="21">
        <f t="shared" si="1"/>
        <v>0</v>
      </c>
      <c r="H37" s="22">
        <f>IF(ISBLANK(B37) ,0,IF(B37="Tiktok",E37*'Client Details'!$F$1,E37*'Client Details'!$D$1))</f>
        <v>0</v>
      </c>
      <c r="I37" s="3"/>
      <c r="J37" s="3"/>
      <c r="K37" s="22">
        <f t="shared" si="3"/>
        <v>0</v>
      </c>
      <c r="L37" s="54">
        <f t="shared" si="4"/>
        <v>0</v>
      </c>
      <c r="M37" s="54">
        <f t="shared" si="5"/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24"/>
      <c r="F38" s="3"/>
      <c r="G38" s="21">
        <f t="shared" si="1"/>
        <v>0</v>
      </c>
      <c r="H38" s="22">
        <f>IF(ISBLANK(B38) ,0,IF(B38="Tiktok",E38*'Client Details'!$F$1,E38*'Client Details'!$D$1))</f>
        <v>0</v>
      </c>
      <c r="I38" s="3"/>
      <c r="J38" s="3"/>
      <c r="K38" s="22">
        <f t="shared" si="3"/>
        <v>0</v>
      </c>
      <c r="L38" s="54">
        <f t="shared" si="4"/>
        <v>0</v>
      </c>
      <c r="M38" s="54">
        <f t="shared" si="5"/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21">
        <f t="shared" si="1"/>
        <v>0</v>
      </c>
      <c r="H39" s="22">
        <f>IF(ISBLANK(B39) ,0,IF(B39="Tiktok",E39*'Client Details'!$F$1,E39*'Client Details'!$D$1))</f>
        <v>0</v>
      </c>
      <c r="I39" s="3"/>
      <c r="J39" s="3"/>
      <c r="K39" s="22">
        <f t="shared" si="3"/>
        <v>0</v>
      </c>
      <c r="L39" s="54">
        <f t="shared" si="4"/>
        <v>0</v>
      </c>
      <c r="M39" s="54">
        <f t="shared" si="5"/>
        <v>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21">
        <f t="shared" si="1"/>
        <v>0</v>
      </c>
      <c r="H40" s="22">
        <f>IF(ISBLANK(B40) ,0,IF(B40="Tiktok",E40*'Client Details'!$F$1,E40*'Client Details'!$D$1))</f>
        <v>0</v>
      </c>
      <c r="I40" s="3"/>
      <c r="J40" s="3"/>
      <c r="K40" s="22">
        <f t="shared" si="3"/>
        <v>0</v>
      </c>
      <c r="L40" s="54">
        <f t="shared" si="4"/>
        <v>0</v>
      </c>
      <c r="M40" s="54">
        <f t="shared" si="5"/>
        <v>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22">
        <f>IF(ISBLANK(B41) ,0,IF(B41="Tiktok",E41*'Client Details'!$F$1,E41*'Client Details'!$D$1))</f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22">
        <f>IF(ISBLANK(B42) ,0,IF(B42="Tiktok",E42*'Client Details'!$F$1,E42*'Client Details'!$D$1))</f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22">
        <f>IF(ISBLANK(B43) ,0,IF(B43="Tiktok",E43*'Client Details'!$F$1,E43*'Client Details'!$D$1))</f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22">
        <f>IF(ISBLANK(B44) ,0,IF(B44="Tiktok",E44*'Client Details'!$F$1,E44*'Client Details'!$D$1))</f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22">
        <f>IF(ISBLANK(B45) ,0,IF(B45="Tiktok",E45*'Client Details'!$F$1,E45*'Client Details'!$D$1))</f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22">
        <f>IF(ISBLANK(B46) ,0,IF(B46="Tiktok",E46*'Client Details'!$F$1,E46*'Client Details'!$D$1))</f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22">
        <f>IF(ISBLANK(B47) ,0,IF(B47="Tiktok",E47*'Client Details'!$F$1,E47*'Client Details'!$D$1))</f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22">
        <f>IF(ISBLANK(B48) ,0,IF(B48="Tiktok",E48*'Client Details'!$F$1,E48*'Client Details'!$D$1))</f>
        <v>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22">
        <f>IF(ISBLANK(B49) ,0,IF(B49="Tiktok",E49*'Client Details'!$F$1,E49*'Client Details'!$D$1))</f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22">
        <f>IF(ISBLANK(B50) ,0,IF(B50="Tiktok",E50*'Client Details'!$F$1,E50*'Client Details'!$D$1))</f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22">
        <f>IF(ISBLANK(B51) ,0,IF(B51="Tiktok",E51*'Client Details'!$F$1,E51*'Client Details'!$D$1))</f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22">
        <f>IF(ISBLANK(B52) ,0,IF(B52="Tiktok",E52*'Client Details'!$F$1,E52*'Client Details'!$D$1))</f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22">
        <f>IF(ISBLANK(B53) ,0,IF(B53="Tiktok",E53*'Client Details'!$F$1,E53*'Client Details'!$D$1))</f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</sheetData>
  <dataValidations>
    <dataValidation type="list" allowBlank="1" showErrorMessage="1" sqref="C5:C40">
      <formula1>"Option 1,Option 2"</formula1>
    </dataValidation>
    <dataValidation type="list" allowBlank="1" showErrorMessage="1" sqref="B5:B40">
      <formula1>"Tiktok,Facebook"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5" max="5" width="19.38"/>
  </cols>
  <sheetData>
    <row r="1">
      <c r="A1" s="56" t="s">
        <v>48</v>
      </c>
      <c r="B1" s="57" t="s">
        <v>49</v>
      </c>
      <c r="C1" s="56" t="s">
        <v>50</v>
      </c>
      <c r="D1" s="58">
        <v>150.0</v>
      </c>
      <c r="E1" s="56" t="s">
        <v>51</v>
      </c>
      <c r="F1" s="58">
        <v>150.0</v>
      </c>
      <c r="G1" s="56" t="s">
        <v>52</v>
      </c>
      <c r="H1" s="59">
        <f>(D1+F1)/2</f>
        <v>150</v>
      </c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1" t="s">
        <v>53</v>
      </c>
      <c r="B2" s="61" t="s">
        <v>3</v>
      </c>
      <c r="C2" s="61" t="s">
        <v>54</v>
      </c>
      <c r="D2" s="61" t="s">
        <v>36</v>
      </c>
      <c r="E2" s="61" t="s">
        <v>55</v>
      </c>
      <c r="F2" s="61" t="s">
        <v>56</v>
      </c>
      <c r="G2" s="62"/>
      <c r="H2" s="62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63">
        <f>'Campaign Management'!B1</f>
        <v>0</v>
      </c>
      <c r="B3" s="64">
        <f>PNL!D2</f>
        <v>5.15</v>
      </c>
      <c r="C3" s="64">
        <f>'Campaign Management'!D1</f>
        <v>5.15</v>
      </c>
      <c r="D3" s="64">
        <f>'Campaign Management'!D2</f>
        <v>0</v>
      </c>
      <c r="E3" s="65">
        <f>PNL!E2</f>
        <v>0.03433333333</v>
      </c>
      <c r="F3" s="65">
        <f>PNL!F2</f>
        <v>0.03433333333</v>
      </c>
      <c r="G3" s="42"/>
      <c r="H3" s="42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2"/>
      <c r="B4" s="42"/>
      <c r="C4" s="42"/>
      <c r="D4" s="42"/>
      <c r="E4" s="42"/>
      <c r="F4" s="42"/>
      <c r="G4" s="42"/>
      <c r="H4" s="42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